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/data/"/>
    </mc:Choice>
  </mc:AlternateContent>
  <xr:revisionPtr revIDLastSave="0" documentId="13_ncr:1_{845760C9-20FC-FF4B-9EEB-0DA22784946C}" xr6:coauthVersionLast="47" xr6:coauthVersionMax="47" xr10:uidLastSave="{00000000-0000-0000-0000-000000000000}"/>
  <bookViews>
    <workbookView xWindow="1220" yWindow="780" windowWidth="39900" windowHeight="25800" xr2:uid="{A9C8EB64-FE29-45D4-BAF1-AAFFA5083DD0}"/>
  </bookViews>
  <sheets>
    <sheet name="FINAL" sheetId="1" r:id="rId1"/>
    <sheet name="Sheet6" sheetId="7" r:id="rId2"/>
    <sheet name="Sheet3" sheetId="4" r:id="rId3"/>
    <sheet name="Sheet1" sheetId="2" r:id="rId4"/>
    <sheet name="Sheet2" sheetId="3" r:id="rId5"/>
    <sheet name="Sheet5" sheetId="6" r:id="rId6"/>
    <sheet name="Sheet4" sheetId="5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E35" i="1"/>
  <c r="D35" i="1"/>
  <c r="B33" i="1"/>
  <c r="B35" i="1"/>
  <c r="B34" i="1"/>
  <c r="F34" i="1"/>
  <c r="E34" i="1"/>
  <c r="D34" i="1"/>
  <c r="C35" i="1"/>
  <c r="C34" i="1"/>
  <c r="C33" i="1"/>
  <c r="Q11" i="1"/>
  <c r="M11" i="1"/>
  <c r="I11" i="1"/>
  <c r="E11" i="1"/>
  <c r="G5" i="6"/>
  <c r="E25" i="5" l="1"/>
  <c r="D25" i="5"/>
  <c r="E22" i="5"/>
  <c r="D22" i="5"/>
  <c r="E19" i="5"/>
  <c r="E16" i="5"/>
  <c r="D16" i="5"/>
  <c r="P5" i="5"/>
  <c r="L5" i="5"/>
  <c r="H5" i="5"/>
  <c r="D5" i="5"/>
  <c r="P4" i="5"/>
  <c r="L4" i="5"/>
  <c r="D4" i="5"/>
  <c r="E27" i="1"/>
  <c r="Q27" i="1"/>
  <c r="M27" i="1"/>
  <c r="I27" i="1"/>
  <c r="G12" i="1"/>
  <c r="G33" i="1"/>
  <c r="G34" i="1"/>
  <c r="G35" i="1"/>
  <c r="G32" i="1"/>
  <c r="L24" i="1"/>
  <c r="L25" i="1"/>
  <c r="H25" i="1"/>
  <c r="P25" i="1"/>
  <c r="P24" i="1"/>
  <c r="D25" i="1"/>
  <c r="D24" i="1"/>
  <c r="O10" i="1"/>
  <c r="K10" i="1"/>
  <c r="G10" i="1"/>
  <c r="C10" i="1"/>
  <c r="O9" i="1"/>
  <c r="K9" i="1"/>
  <c r="G9" i="1"/>
  <c r="C9" i="1"/>
  <c r="O8" i="1"/>
  <c r="K8" i="1"/>
  <c r="G8" i="1"/>
  <c r="C8" i="1"/>
  <c r="O7" i="1"/>
  <c r="K7" i="1"/>
  <c r="G7" i="1"/>
  <c r="C7" i="1"/>
  <c r="O6" i="1"/>
  <c r="O12" i="1" s="1"/>
  <c r="K6" i="1"/>
  <c r="G6" i="1"/>
  <c r="C6" i="1"/>
  <c r="O5" i="1"/>
  <c r="K5" i="1"/>
  <c r="G5" i="1"/>
  <c r="C5" i="1"/>
  <c r="C32" i="1" s="1"/>
  <c r="O4" i="1"/>
  <c r="K4" i="1"/>
  <c r="K12" i="1" s="1"/>
  <c r="G4" i="1"/>
  <c r="C4" i="1"/>
  <c r="B32" i="1" s="1"/>
  <c r="C12" i="1" l="1"/>
  <c r="J13" i="1"/>
  <c r="N13" i="1"/>
  <c r="B13" i="1"/>
  <c r="F13" i="1"/>
</calcChain>
</file>

<file path=xl/sharedStrings.xml><?xml version="1.0" encoding="utf-8"?>
<sst xmlns="http://schemas.openxmlformats.org/spreadsheetml/2006/main" count="182" uniqueCount="74">
  <si>
    <t>High Solar High Wind ( TX)</t>
  </si>
  <si>
    <t>High Solar Low Wind ( AZ)</t>
  </si>
  <si>
    <t>Low Solar High Wind ( ID)</t>
  </si>
  <si>
    <t>Low Solar Low Wind ( PA)</t>
  </si>
  <si>
    <t>Builds</t>
  </si>
  <si>
    <t>Units</t>
  </si>
  <si>
    <t>MW %</t>
  </si>
  <si>
    <t>MWs</t>
  </si>
  <si>
    <t>MW By  %</t>
  </si>
  <si>
    <t>CC—single-shaft</t>
  </si>
  <si>
    <t>CT—industrial frame</t>
  </si>
  <si>
    <t>CT_35MW</t>
  </si>
  <si>
    <t>CT_16MW</t>
  </si>
  <si>
    <t>Wind</t>
  </si>
  <si>
    <t>Solar PV with tracking</t>
  </si>
  <si>
    <t>Battery storage</t>
  </si>
  <si>
    <t>Total</t>
  </si>
  <si>
    <t>Renewables % By Capacity</t>
  </si>
  <si>
    <t>CFE % ( Energy)</t>
  </si>
  <si>
    <t xml:space="preserve">Carbon Intensity </t>
  </si>
  <si>
    <t>LCOE to serve Data Center Load</t>
  </si>
  <si>
    <t>LCOE_Including Battery loads</t>
  </si>
  <si>
    <t xml:space="preserve">Total Curtailment </t>
  </si>
  <si>
    <t xml:space="preserve">Wind </t>
  </si>
  <si>
    <t xml:space="preserve">Solar </t>
  </si>
  <si>
    <t>?</t>
  </si>
  <si>
    <t xml:space="preserve">Realibility </t>
  </si>
  <si>
    <t>EUE ( GWh)</t>
  </si>
  <si>
    <t>EUE hours</t>
  </si>
  <si>
    <t>? 61</t>
  </si>
  <si>
    <t xml:space="preserve">? </t>
  </si>
  <si>
    <t>CF</t>
  </si>
  <si>
    <t>GWh</t>
  </si>
  <si>
    <t>%</t>
  </si>
  <si>
    <t>GWh_Curtailed</t>
  </si>
  <si>
    <t>GWH_Produced</t>
  </si>
  <si>
    <t>GWh_Produced</t>
  </si>
  <si>
    <t>Total Generation Energy GWh</t>
  </si>
  <si>
    <t>Scenario Profile</t>
  </si>
  <si>
    <t>CC-Single Shaft</t>
  </si>
  <si>
    <t>Solar PV</t>
  </si>
  <si>
    <t>Battery</t>
  </si>
  <si>
    <t>High Solar / High Wind</t>
  </si>
  <si>
    <t>High Solar / Low Wind</t>
  </si>
  <si>
    <t>Low Solar / High Wind</t>
  </si>
  <si>
    <t>Low Solar / Low Wind</t>
  </si>
  <si>
    <t>CT-Industrial, 35MW, 16 MW</t>
  </si>
  <si>
    <t>RE %</t>
  </si>
  <si>
    <t>Carbon Intensity Lb/MWh</t>
  </si>
  <si>
    <t>High Solar High Wind (TX)</t>
  </si>
  <si>
    <t>High Solar Low Wind (AZ)</t>
  </si>
  <si>
    <t>Low Solar High Wind (ID)</t>
  </si>
  <si>
    <t>Low Solar Low Wind (PA)</t>
  </si>
  <si>
    <t xml:space="preserve">Non Renewables </t>
  </si>
  <si>
    <t>Thermal Capacity</t>
  </si>
  <si>
    <t>Carbon Free Energy CFE%</t>
  </si>
  <si>
    <t>Carbon Intensity lb/MWh</t>
  </si>
  <si>
    <t xml:space="preserve">Overall System Reliability % </t>
  </si>
  <si>
    <t>% Curtailed</t>
  </si>
  <si>
    <t>SC Ratio</t>
  </si>
  <si>
    <t>Total System w/ BESS Load</t>
  </si>
  <si>
    <t>Total System w/o BESS Load</t>
  </si>
  <si>
    <t>Thermal Only</t>
  </si>
  <si>
    <t>Total System for DC load ( 75% system )</t>
  </si>
  <si>
    <t>Low Solar
Low Wind 
(PA)</t>
  </si>
  <si>
    <t>Low Solar High Wind
 (ID)</t>
  </si>
  <si>
    <t>High Solar 
Low Wind 
(AZ)</t>
  </si>
  <si>
    <t>High Solar High Wind
(TX)</t>
  </si>
  <si>
    <t>LCOE  $/MWh</t>
  </si>
  <si>
    <t>LM2500 22MW</t>
  </si>
  <si>
    <t xml:space="preserve">LM2500+G4 </t>
  </si>
  <si>
    <t>BESS</t>
  </si>
  <si>
    <t>HD - 7HA.02</t>
  </si>
  <si>
    <t>HD - 7F.05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</si>
</sst>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%"/>
  </numFmts>
  <fonts count="10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5E60"/>
      <name val="Inter"/>
      <family val="2"/>
    </font>
    <font>
      <b/>
      <sz val="11"/>
      <color rgb="FF005E60"/>
      <name val="Inter"/>
      <family val="2"/>
    </font>
    <font>
      <sz val="11"/>
      <color rgb="FF005E60"/>
      <name val="Inter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BF2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BDDDD"/>
      </left>
      <right style="medium">
        <color rgb="FFDBDDDD"/>
      </right>
      <top style="medium">
        <color rgb="FFDBDDDD"/>
      </top>
      <bottom style="medium">
        <color rgb="FFDB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1" applyFont="1" applyBorder="1"/>
    <xf numFmtId="1" fontId="0" fillId="0" borderId="1" xfId="0" applyNumberFormat="1" applyBorder="1"/>
    <xf numFmtId="1" fontId="2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1" xfId="1" applyNumberFormat="1" applyFont="1" applyBorder="1"/>
    <xf numFmtId="0" fontId="0" fillId="0" borderId="1" xfId="0" applyBorder="1" applyAlignment="1">
      <alignment horizontal="center"/>
    </xf>
    <xf numFmtId="0" fontId="3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9" fontId="5" fillId="2" borderId="7" xfId="0" applyNumberFormat="1" applyFont="1" applyFill="1" applyBorder="1" applyAlignment="1">
      <alignment horizontal="left" vertical="center" wrapText="1"/>
    </xf>
    <xf numFmtId="0" fontId="2" fillId="0" borderId="2" xfId="0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9" fontId="2" fillId="0" borderId="4" xfId="1" applyFont="1" applyBorder="1"/>
    <xf numFmtId="9" fontId="0" fillId="0" borderId="0" xfId="1" applyFont="1"/>
    <xf numFmtId="10" fontId="0" fillId="0" borderId="0" xfId="1" applyNumberFormat="1" applyFont="1"/>
    <xf numFmtId="165" fontId="0" fillId="0" borderId="0" xfId="1" applyNumberFormat="1" applyFont="1"/>
    <xf numFmtId="0" fontId="2" fillId="0" borderId="0" xfId="0" applyFont="1"/>
    <xf numFmtId="166" fontId="0" fillId="0" borderId="0" xfId="1" applyNumberFormat="1" applyFont="1"/>
    <xf numFmtId="0" fontId="0" fillId="3" borderId="1" xfId="0" applyFill="1" applyBorder="1"/>
    <xf numFmtId="1" fontId="0" fillId="3" borderId="1" xfId="0" applyNumberFormat="1" applyFill="1" applyBorder="1"/>
    <xf numFmtId="1" fontId="2" fillId="3" borderId="1" xfId="0" applyNumberFormat="1" applyFont="1" applyFill="1" applyBorder="1"/>
    <xf numFmtId="10" fontId="0" fillId="0" borderId="1" xfId="1" applyNumberFormat="1" applyFont="1" applyBorder="1" applyAlignment="1"/>
    <xf numFmtId="164" fontId="0" fillId="0" borderId="1" xfId="1" applyNumberFormat="1" applyFont="1" applyBorder="1" applyAlignment="1"/>
    <xf numFmtId="0" fontId="2" fillId="0" borderId="1" xfId="0" applyFont="1" applyBorder="1" applyAlignment="1">
      <alignment horizontal="right"/>
    </xf>
    <xf numFmtId="2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2" fillId="0" borderId="1" xfId="0" applyNumberFormat="1" applyFont="1" applyBorder="1"/>
    <xf numFmtId="0" fontId="6" fillId="0" borderId="1" xfId="0" applyFont="1" applyBorder="1"/>
    <xf numFmtId="0" fontId="0" fillId="0" borderId="9" xfId="0" applyBorder="1"/>
    <xf numFmtId="0" fontId="0" fillId="4" borderId="1" xfId="0" applyFill="1" applyBorder="1"/>
    <xf numFmtId="1" fontId="0" fillId="4" borderId="1" xfId="0" applyNumberFormat="1" applyFill="1" applyBorder="1"/>
    <xf numFmtId="1" fontId="2" fillId="4" borderId="1" xfId="0" applyNumberFormat="1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Supply</a:t>
            </a:r>
            <a:r>
              <a:rPr lang="en-US" baseline="0"/>
              <a:t> Mix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FINAL!$A$4</c:f>
              <c:strCache>
                <c:ptCount val="1"/>
                <c:pt idx="0">
                  <c:v>HD - 7HA.02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FINAL!$B$4:$Q$4</c15:sqref>
                  </c15:fullRef>
                </c:ext>
              </c:extLst>
              <c:f>(FINAL!$D$4:$E$4,FINAL!$H$4:$I$4,FINAL!$L$4:$M$4,FINAL!$P$4:$Q$4)</c:f>
              <c:numCache>
                <c:formatCode>0%</c:formatCode>
                <c:ptCount val="8"/>
                <c:pt idx="0">
                  <c:v>0.89929999999999999</c:v>
                </c:pt>
                <c:pt idx="1" formatCode="General">
                  <c:v>573</c:v>
                </c:pt>
                <c:pt idx="2">
                  <c:v>0.81389999999999996</c:v>
                </c:pt>
                <c:pt idx="3" formatCode="General">
                  <c:v>573</c:v>
                </c:pt>
                <c:pt idx="5" formatCode="General">
                  <c:v>573</c:v>
                </c:pt>
                <c:pt idx="6">
                  <c:v>0.90110000000000001</c:v>
                </c:pt>
                <c:pt idx="7" formatCode="General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F-42E9-A60C-E438E46A0BCD}"/>
            </c:ext>
          </c:extLst>
        </c:ser>
        <c:ser>
          <c:idx val="2"/>
          <c:order val="2"/>
          <c:tx>
            <c:strRef>
              <c:f>FINAL!$A$5</c:f>
              <c:strCache>
                <c:ptCount val="1"/>
                <c:pt idx="0">
                  <c:v>HD - 7F.05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FINAL!$B$5:$Q$5</c15:sqref>
                  </c15:fullRef>
                </c:ext>
              </c:extLst>
              <c:f>(FINAL!$D$5:$E$5,FINAL!$H$5:$I$5,FINAL!$L$5:$M$5,FINAL!$P$5:$Q$5)</c:f>
              <c:numCache>
                <c:formatCode>0%</c:formatCode>
                <c:ptCount val="8"/>
                <c:pt idx="0">
                  <c:v>0.2195</c:v>
                </c:pt>
                <c:pt idx="1" formatCode="General">
                  <c:v>717</c:v>
                </c:pt>
                <c:pt idx="2">
                  <c:v>0.41270000000000001</c:v>
                </c:pt>
                <c:pt idx="3" formatCode="General">
                  <c:v>717</c:v>
                </c:pt>
                <c:pt idx="5" formatCode="General">
                  <c:v>717</c:v>
                </c:pt>
                <c:pt idx="6">
                  <c:v>0.2969</c:v>
                </c:pt>
                <c:pt idx="7" formatCode="General">
                  <c:v>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F-42E9-A60C-E438E46A0BCD}"/>
            </c:ext>
          </c:extLst>
        </c:ser>
        <c:ser>
          <c:idx val="3"/>
          <c:order val="3"/>
          <c:tx>
            <c:strRef>
              <c:f>FINAL!$A$6</c:f>
              <c:strCache>
                <c:ptCount val="1"/>
                <c:pt idx="0">
                  <c:v>LM2500+G4 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FINAL!$B$6:$Q$6</c15:sqref>
                  </c15:fullRef>
                </c:ext>
              </c:extLst>
              <c:f>(FINAL!$D$6:$E$6,FINAL!$H$6:$I$6,FINAL!$L$6:$M$6,FINAL!$P$6:$Q$6)</c:f>
              <c:numCache>
                <c:formatCode>0%</c:formatCode>
                <c:ptCount val="8"/>
                <c:pt idx="0">
                  <c:v>7.1400000000000005E-2</c:v>
                </c:pt>
                <c:pt idx="1" formatCode="General">
                  <c:v>210</c:v>
                </c:pt>
                <c:pt idx="2" formatCode="0.00%">
                  <c:v>8.9999999999999998E-4</c:v>
                </c:pt>
                <c:pt idx="3" formatCode="General">
                  <c:v>140</c:v>
                </c:pt>
                <c:pt idx="5" formatCode="General">
                  <c:v>105</c:v>
                </c:pt>
                <c:pt idx="6">
                  <c:v>2.9100000000000001E-2</c:v>
                </c:pt>
                <c:pt idx="7" formatCode="General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F-42E9-A60C-E438E46A0BCD}"/>
            </c:ext>
          </c:extLst>
        </c:ser>
        <c:ser>
          <c:idx val="4"/>
          <c:order val="4"/>
          <c:tx>
            <c:strRef>
              <c:f>FINAL!$A$7</c:f>
              <c:strCache>
                <c:ptCount val="1"/>
                <c:pt idx="0">
                  <c:v>LM2500 22MW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FINAL!$B$7:$Q$7</c15:sqref>
                  </c15:fullRef>
                </c:ext>
              </c:extLst>
              <c:f>(FINAL!$D$7:$E$7,FINAL!$H$7:$I$7,FINAL!$L$7:$M$7,FINAL!$P$7:$Q$7)</c:f>
              <c:numCache>
                <c:formatCode>0%</c:formatCode>
                <c:ptCount val="8"/>
                <c:pt idx="1" formatCode="General">
                  <c:v>0</c:v>
                </c:pt>
                <c:pt idx="2" formatCode="0.00%">
                  <c:v>8.0000000000000004E-4</c:v>
                </c:pt>
                <c:pt idx="3" formatCode="General">
                  <c:v>48</c:v>
                </c:pt>
                <c:pt idx="5" formatCode="General">
                  <c:v>0</c:v>
                </c:pt>
                <c:pt idx="6">
                  <c:v>2.9700000000000001E-2</c:v>
                </c:pt>
                <c:pt idx="7" formatCode="General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0F-42E9-A60C-E438E46A0BCD}"/>
            </c:ext>
          </c:extLst>
        </c:ser>
        <c:ser>
          <c:idx val="5"/>
          <c:order val="5"/>
          <c:tx>
            <c:strRef>
              <c:f>FINAL!$A$8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FINAL!$B$8:$Q$8</c15:sqref>
                  </c15:fullRef>
                </c:ext>
              </c:extLst>
              <c:f>(FINAL!$D$8:$E$8,FINAL!$H$8:$I$8,FINAL!$L$8:$M$8,FINAL!$P$8:$Q$8)</c:f>
              <c:numCache>
                <c:formatCode>0%</c:formatCode>
                <c:ptCount val="8"/>
                <c:pt idx="0">
                  <c:v>0.41149999999999998</c:v>
                </c:pt>
                <c:pt idx="1" formatCode="0">
                  <c:v>880.44</c:v>
                </c:pt>
                <c:pt idx="3" formatCode="0">
                  <c:v>0</c:v>
                </c:pt>
                <c:pt idx="5" formatCode="0">
                  <c:v>1067.78</c:v>
                </c:pt>
                <c:pt idx="6">
                  <c:v>0.28789999999999999</c:v>
                </c:pt>
                <c:pt idx="7" formatCode="0">
                  <c:v>188.31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0F-42E9-A60C-E438E46A0BCD}"/>
            </c:ext>
          </c:extLst>
        </c:ser>
        <c:ser>
          <c:idx val="6"/>
          <c:order val="6"/>
          <c:tx>
            <c:strRef>
              <c:f>FINAL!$A$9</c:f>
              <c:strCache>
                <c:ptCount val="1"/>
                <c:pt idx="0">
                  <c:v>Solar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FINAL!$B$9:$Q$9</c15:sqref>
                  </c15:fullRef>
                </c:ext>
              </c:extLst>
              <c:f>(FINAL!$D$9:$E$9,FINAL!$H$9:$I$9,FINAL!$L$9:$M$9,FINAL!$P$9:$Q$9)</c:f>
              <c:numCache>
                <c:formatCode>0%</c:formatCode>
                <c:ptCount val="8"/>
                <c:pt idx="0">
                  <c:v>0.25650000000000001</c:v>
                </c:pt>
                <c:pt idx="1" formatCode="0">
                  <c:v>1391.23</c:v>
                </c:pt>
                <c:pt idx="2">
                  <c:v>0.28699999999999998</c:v>
                </c:pt>
                <c:pt idx="3" formatCode="0">
                  <c:v>2375.0100000000002</c:v>
                </c:pt>
                <c:pt idx="5" formatCode="0">
                  <c:v>1122.29</c:v>
                </c:pt>
                <c:pt idx="6">
                  <c:v>0.1774</c:v>
                </c:pt>
                <c:pt idx="7" formatCode="0">
                  <c:v>2495.61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F-42E9-A60C-E438E46A0BCD}"/>
            </c:ext>
          </c:extLst>
        </c:ser>
        <c:ser>
          <c:idx val="7"/>
          <c:order val="7"/>
          <c:tx>
            <c:strRef>
              <c:f>FINAL!$A$10</c:f>
              <c:strCache>
                <c:ptCount val="1"/>
                <c:pt idx="0">
                  <c:v>BESS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FINAL!$B$2:$Q$2</c15:sqref>
                  </c15:fullRef>
                </c:ext>
              </c:extLst>
              <c:f>(FINAL!$D$2:$E$2,FINAL!$H$2:$I$2,FINAL!$L$2:$M$2,FINAL!$P$2:$Q$2)</c:f>
              <c:strCache>
                <c:ptCount val="6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FINAL!$B$10:$Q$10</c15:sqref>
                  </c15:fullRef>
                </c:ext>
              </c:extLst>
              <c:f>(FINAL!$D$10:$E$10,FINAL!$H$10:$I$10,FINAL!$L$10:$M$10,FINAL!$P$10:$Q$10)</c:f>
              <c:numCache>
                <c:formatCode>0%</c:formatCode>
                <c:ptCount val="8"/>
                <c:pt idx="0">
                  <c:v>6.2100000000000002E-2</c:v>
                </c:pt>
                <c:pt idx="1" formatCode="0">
                  <c:v>1521.12</c:v>
                </c:pt>
                <c:pt idx="2">
                  <c:v>0.1424</c:v>
                </c:pt>
                <c:pt idx="3" formatCode="0">
                  <c:v>1344.96</c:v>
                </c:pt>
                <c:pt idx="5" formatCode="0">
                  <c:v>1141.6099999999999</c:v>
                </c:pt>
                <c:pt idx="6">
                  <c:v>9.3100000000000002E-2</c:v>
                </c:pt>
                <c:pt idx="7" formatCode="0">
                  <c:v>1390.33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0F-42E9-A60C-E438E46A0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8401760"/>
        <c:axId val="658402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FINAL!$A$3</c15:sqref>
                        </c15:formulaRef>
                      </c:ext>
                    </c:extLst>
                    <c:strCache>
                      <c:ptCount val="1"/>
                      <c:pt idx="0">
                        <c:v>Builds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FINAL!$B$2:$Q$2</c15:sqref>
                        </c15:fullRef>
                        <c15:formulaRef>
                          <c15:sqref>(FINAL!$D$2:$E$2,FINAL!$H$2:$I$2,FINAL!$L$2:$M$2,FINAL!$P$2:$Q$2)</c15:sqref>
                        </c15:formulaRef>
                      </c:ext>
                    </c:extLst>
                    <c:strCache>
                      <c:ptCount val="6"/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FINAL!$B$3:$Q$3</c15:sqref>
                        </c15:fullRef>
                        <c15:formulaRef>
                          <c15:sqref>(FINAL!$D$3:$E$3,FINAL!$H$3:$I$3,FINAL!$L$3:$M$3,FINAL!$P$3:$Q$3)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10F-42E9-A60C-E438E46A0BCD}"/>
                  </c:ext>
                </c:extLst>
              </c15:ser>
            </c15:filteredBarSeries>
          </c:ext>
        </c:extLst>
      </c:barChart>
      <c:catAx>
        <c:axId val="65840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02120"/>
        <c:crosses val="autoZero"/>
        <c:auto val="1"/>
        <c:lblAlgn val="ctr"/>
        <c:lblOffset val="100"/>
        <c:noMultiLvlLbl val="0"/>
      </c:catAx>
      <c:valAx>
        <c:axId val="65840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0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supply MIX by Tech Type </a:t>
            </a:r>
          </a:p>
          <a:p>
            <a:pPr>
              <a:defRPr/>
            </a:pPr>
            <a:r>
              <a:rPr lang="en-US"/>
              <a:t>in Percentage</a:t>
            </a:r>
          </a:p>
        </c:rich>
      </c:tx>
      <c:layout>
        <c:manualLayout>
          <c:xMode val="edge"/>
          <c:yMode val="edge"/>
          <c:x val="0.27214420889582636"/>
          <c:y val="1.5173632957226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FINAL!$B$31</c:f>
              <c:strCache>
                <c:ptCount val="1"/>
                <c:pt idx="0">
                  <c:v>CC-Single Shaft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FINAL!$A$32:$A$35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FINAL!$B$32:$B$35</c:f>
              <c:numCache>
                <c:formatCode>0%</c:formatCode>
                <c:ptCount val="4"/>
                <c:pt idx="0">
                  <c:v>0.1082604826565951</c:v>
                </c:pt>
                <c:pt idx="1">
                  <c:v>0.1102353418738469</c:v>
                </c:pt>
                <c:pt idx="2">
                  <c:v>0.12122673842951079</c:v>
                </c:pt>
                <c:pt idx="3">
                  <c:v>9.6966620129458059E-2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5-4332-B59E-6436821B0B6E}"/>
            </c:ext>
          </c:extLst>
        </c:ser>
        <c:ser>
          <c:idx val="1"/>
          <c:order val="1"/>
          <c:tx>
            <c:strRef>
              <c:f>FINAL!$C$31</c:f>
              <c:strCache>
                <c:ptCount val="1"/>
                <c:pt idx="0">
                  <c:v>CT-Industrial, 35MW, 16 MW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FINAL!$A$32:$A$35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FINAL!$C$32:$C$35</c:f>
              <c:numCache>
                <c:formatCode>0%</c:formatCode>
                <c:ptCount val="4"/>
                <c:pt idx="0">
                  <c:v>0.1751439222036015</c:v>
                </c:pt>
                <c:pt idx="1">
                  <c:v>0.17410643001017703</c:v>
                </c:pt>
                <c:pt idx="2">
                  <c:v>0.17390642057427202</c:v>
                </c:pt>
                <c:pt idx="3">
                  <c:v>0.21356348098320432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5-4332-B59E-6436821B0B6E}"/>
            </c:ext>
          </c:extLst>
        </c:ser>
        <c:ser>
          <c:idx val="2"/>
          <c:order val="2"/>
          <c:tx>
            <c:strRef>
              <c:f>FINAL!$D$31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FINAL!$A$32:$A$35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FINAL!$D$32:$D$35</c:f>
              <c:numCache>
                <c:formatCode>0%</c:formatCode>
                <c:ptCount val="4"/>
                <c:pt idx="0">
                  <c:v>0.26</c:v>
                </c:pt>
                <c:pt idx="1">
                  <c:v>0.46</c:v>
                </c:pt>
                <c:pt idx="2">
                  <c:v>0.23743727098089992</c:v>
                </c:pt>
                <c:pt idx="3">
                  <c:v>0.42232262977535223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5-4332-B59E-6436821B0B6E}"/>
            </c:ext>
          </c:extLst>
        </c:ser>
        <c:ser>
          <c:idx val="3"/>
          <c:order val="3"/>
          <c:tx>
            <c:strRef>
              <c:f>FINAL!$E$31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FINAL!$A$32:$A$35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FINAL!$E$32:$E$35</c:f>
              <c:numCache>
                <c:formatCode>0%</c:formatCode>
                <c:ptCount val="4"/>
                <c:pt idx="0">
                  <c:v>0.17</c:v>
                </c:pt>
                <c:pt idx="1">
                  <c:v>0</c:v>
                </c:pt>
                <c:pt idx="2">
                  <c:v>0.22590486345595642</c:v>
                </c:pt>
                <c:pt idx="3">
                  <c:v>3.1866988196471636E-2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5-4332-B59E-6436821B0B6E}"/>
            </c:ext>
          </c:extLst>
        </c:ser>
        <c:ser>
          <c:idx val="4"/>
          <c:order val="4"/>
          <c:tx>
            <c:strRef>
              <c:f>FINAL!$F$31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FINAL!$A$32:$A$35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FINAL!$F$32:$F$35</c:f>
              <c:numCache>
                <c:formatCode>0%</c:formatCode>
                <c:ptCount val="4"/>
                <c:pt idx="0">
                  <c:v>0.28999999999999998</c:v>
                </c:pt>
                <c:pt idx="1">
                  <c:v>0.26</c:v>
                </c:pt>
                <c:pt idx="2">
                  <c:v>0.24152470655936092</c:v>
                </c:pt>
                <c:pt idx="3">
                  <c:v>0.23528028091551381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5-4332-B59E-6436821B0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60215200"/>
        <c:axId val="1760208360"/>
      </c:barChart>
      <c:catAx>
        <c:axId val="176021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08360"/>
        <c:crosses val="autoZero"/>
        <c:auto val="1"/>
        <c:lblAlgn val="ctr"/>
        <c:lblOffset val="100"/>
        <c:noMultiLvlLbl val="0"/>
      </c:catAx>
      <c:valAx>
        <c:axId val="176020836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Carbon Intensity Lb/MWh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03399446203253E-2"/>
          <c:y val="0.19562562716399831"/>
          <c:w val="0.90953233938541189"/>
          <c:h val="0.779150401836969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Carbon Intensity Lb/MWh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0"/>
                  <c:y val="-0.151549887793056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BB-4757-92D3-F8467DC50EC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Sheet1!$A$10:$A$13</c:f>
              <c:strCache>
                <c:ptCount val="4"/>
                <c:pt idx="0">
                  <c:v>High Solar High Wind (TX)</c:v>
                </c:pt>
                <c:pt idx="1">
                  <c:v>High Solar Low Wind (AZ)</c:v>
                </c:pt>
                <c:pt idx="2">
                  <c:v>Low Solar High Wind (ID)</c:v>
                </c:pt>
                <c:pt idx="3">
                  <c:v>Low Solar Low Wind (PA)</c:v>
                </c:pt>
              </c:strCache>
            </c:strRef>
          </c:xVal>
          <c:yVal>
            <c:numRef>
              <c:f>Sheet1!$B$10:$B$13</c:f>
              <c:numCache>
                <c:formatCode>General</c:formatCode>
                <c:ptCount val="4"/>
                <c:pt idx="0">
                  <c:v>361</c:v>
                </c:pt>
                <c:pt idx="1">
                  <c:v>436</c:v>
                </c:pt>
                <c:pt idx="2">
                  <c:v>465</c:v>
                </c:pt>
                <c:pt idx="3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B-4757-92D3-F8467DC50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85480"/>
        <c:axId val="667985840"/>
      </c:scatterChart>
      <c:valAx>
        <c:axId val="667985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67985840"/>
        <c:crosses val="autoZero"/>
        <c:crossBetween val="midCat"/>
      </c:valAx>
      <c:valAx>
        <c:axId val="6679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lb/MWh</a:t>
                </a:r>
              </a:p>
            </c:rich>
          </c:tx>
          <c:layout>
            <c:manualLayout>
              <c:xMode val="edge"/>
              <c:yMode val="edge"/>
              <c:x val="6.4794816414686825E-3"/>
              <c:y val="1.879638073844680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8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464605</xdr:colOff>
      <xdr:row>0</xdr:row>
      <xdr:rowOff>140364</xdr:rowOff>
    </xdr:from>
    <xdr:to>
      <xdr:col>35</xdr:col>
      <xdr:colOff>15279</xdr:colOff>
      <xdr:row>24</xdr:row>
      <xdr:rowOff>19637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2644B-640A-4D7E-808B-744070171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26004</xdr:colOff>
      <xdr:row>28</xdr:row>
      <xdr:rowOff>165824</xdr:rowOff>
    </xdr:from>
    <xdr:to>
      <xdr:col>33</xdr:col>
      <xdr:colOff>595027</xdr:colOff>
      <xdr:row>49</xdr:row>
      <xdr:rowOff>74512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DDC9E-E076-9481-3AA6-82A45CB1E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7</xdr:row>
      <xdr:rowOff>161924</xdr:rowOff>
    </xdr:from>
    <xdr:to>
      <xdr:col>7</xdr:col>
      <xdr:colOff>355600</xdr:colOff>
      <xdr:row>22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74ACA-99F9-5E86-26ED-879ADD8E6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4B8F-BB67-4C96-A1A5-1E3F18BA21EB}">
  <dimension ref="A2:Q35"/>
  <sheetViews>
    <sheetView tabSelected="1" zoomScale="140" zoomScaleNormal="140" workbookViewId="0">
      <selection activeCell="A11" sqref="A11:XFD11"/>
    </sheetView>
  </sheetViews>
  <sheetFormatPr baseColWidth="10" defaultColWidth="8.83203125" defaultRowHeight="15"/>
  <cols>
    <col min="1" max="1" width="27.1640625" customWidth="1"/>
    <col min="2" max="2" width="14" customWidth="1"/>
    <col min="3" max="3" width="14.83203125" customWidth="1"/>
    <col min="4" max="4" width="12.5" customWidth="1"/>
    <col min="6" max="6" width="8.6640625" customWidth="1"/>
    <col min="7" max="8" width="7.33203125" customWidth="1"/>
    <col min="10" max="10" width="7" customWidth="1"/>
    <col min="11" max="11" width="8.5" customWidth="1"/>
    <col min="12" max="12" width="7" customWidth="1"/>
    <col min="14" max="14" width="9.1640625" customWidth="1"/>
    <col min="15" max="16" width="9.33203125" customWidth="1"/>
    <col min="17" max="17" width="6.6640625" customWidth="1"/>
  </cols>
  <sheetData>
    <row r="2" spans="1:17">
      <c r="A2" s="1"/>
      <c r="B2" s="52" t="s">
        <v>0</v>
      </c>
      <c r="C2" s="52"/>
      <c r="D2" s="52"/>
      <c r="E2" s="52"/>
      <c r="F2" s="52" t="s">
        <v>1</v>
      </c>
      <c r="G2" s="52"/>
      <c r="H2" s="52"/>
      <c r="I2" s="52"/>
      <c r="J2" s="52" t="s">
        <v>2</v>
      </c>
      <c r="K2" s="52"/>
      <c r="L2" s="52"/>
      <c r="M2" s="52"/>
      <c r="N2" s="57" t="s">
        <v>3</v>
      </c>
      <c r="O2" s="57"/>
      <c r="P2" s="57"/>
      <c r="Q2" s="57"/>
    </row>
    <row r="3" spans="1:17">
      <c r="A3" s="1" t="s">
        <v>4</v>
      </c>
      <c r="B3" s="1" t="s">
        <v>5</v>
      </c>
      <c r="C3" s="1" t="s">
        <v>6</v>
      </c>
      <c r="D3" s="1" t="s">
        <v>31</v>
      </c>
      <c r="E3" s="1" t="s">
        <v>7</v>
      </c>
      <c r="F3" s="1" t="s">
        <v>5</v>
      </c>
      <c r="G3" s="1" t="s">
        <v>6</v>
      </c>
      <c r="H3" s="1" t="s">
        <v>31</v>
      </c>
      <c r="I3" s="1" t="s">
        <v>7</v>
      </c>
      <c r="J3" s="1" t="s">
        <v>5</v>
      </c>
      <c r="K3" s="1" t="s">
        <v>6</v>
      </c>
      <c r="L3" s="1" t="s">
        <v>31</v>
      </c>
      <c r="M3" s="1" t="s">
        <v>7</v>
      </c>
      <c r="N3" s="1" t="s">
        <v>5</v>
      </c>
      <c r="O3" s="1" t="s">
        <v>8</v>
      </c>
      <c r="P3" s="1" t="s">
        <v>31</v>
      </c>
      <c r="Q3" s="1" t="s">
        <v>7</v>
      </c>
    </row>
    <row r="4" spans="1:17">
      <c r="A4" s="2" t="s">
        <v>72</v>
      </c>
      <c r="B4" s="2">
        <v>1</v>
      </c>
      <c r="C4" s="3">
        <f t="shared" ref="C4:C10" si="0">E4/$E$11</f>
        <v>0.1082604826565951</v>
      </c>
      <c r="D4" s="3">
        <v>0.89929999999999999</v>
      </c>
      <c r="E4" s="22">
        <v>573</v>
      </c>
      <c r="F4" s="2">
        <v>1</v>
      </c>
      <c r="G4" s="3">
        <f>I4/$I$11</f>
        <v>0.1102353418738469</v>
      </c>
      <c r="H4" s="3">
        <v>0.81389999999999996</v>
      </c>
      <c r="I4" s="38">
        <v>573</v>
      </c>
      <c r="J4" s="2">
        <v>1</v>
      </c>
      <c r="K4" s="3">
        <f t="shared" ref="K4:K10" si="1">M4/$M$11</f>
        <v>0.12122673842951079</v>
      </c>
      <c r="L4" s="3"/>
      <c r="M4" s="38">
        <v>573</v>
      </c>
      <c r="N4" s="2">
        <v>1</v>
      </c>
      <c r="O4" s="3">
        <f t="shared" ref="O4:O10" si="2">Q4/$Q$11</f>
        <v>9.6966620129458059E-2</v>
      </c>
      <c r="P4" s="3">
        <v>0.90110000000000001</v>
      </c>
      <c r="Q4" s="38">
        <v>573</v>
      </c>
    </row>
    <row r="5" spans="1:17">
      <c r="A5" s="2" t="s">
        <v>73</v>
      </c>
      <c r="B5" s="2">
        <v>3</v>
      </c>
      <c r="C5" s="3">
        <f t="shared" si="0"/>
        <v>0.13546730552317399</v>
      </c>
      <c r="D5" s="3">
        <v>0.2195</v>
      </c>
      <c r="E5" s="22">
        <v>717</v>
      </c>
      <c r="F5" s="2">
        <v>3</v>
      </c>
      <c r="G5" s="3">
        <f t="shared" ref="G5:G10" si="3">I5/$I$11</f>
        <v>0.13793846443900215</v>
      </c>
      <c r="H5" s="3">
        <v>0.41270000000000001</v>
      </c>
      <c r="I5" s="38">
        <v>717</v>
      </c>
      <c r="J5" s="2">
        <v>3</v>
      </c>
      <c r="K5" s="3">
        <f t="shared" si="1"/>
        <v>0.15169209677828838</v>
      </c>
      <c r="L5" s="3"/>
      <c r="M5" s="38">
        <v>717</v>
      </c>
      <c r="N5" s="2">
        <v>5</v>
      </c>
      <c r="O5" s="3">
        <f t="shared" si="2"/>
        <v>0.20222532470279647</v>
      </c>
      <c r="P5" s="3">
        <v>0.2969</v>
      </c>
      <c r="Q5" s="38">
        <v>1195</v>
      </c>
    </row>
    <row r="6" spans="1:17">
      <c r="A6" t="s">
        <v>70</v>
      </c>
      <c r="B6" s="2">
        <v>6</v>
      </c>
      <c r="C6" s="3">
        <f t="shared" si="0"/>
        <v>3.9676616680427525E-2</v>
      </c>
      <c r="D6" s="3">
        <v>7.1400000000000005E-2</v>
      </c>
      <c r="E6" s="22">
        <v>210</v>
      </c>
      <c r="F6" s="2">
        <v>4</v>
      </c>
      <c r="G6" s="3">
        <f t="shared" si="3"/>
        <v>2.6933591382789817E-2</v>
      </c>
      <c r="H6" s="8">
        <v>8.9999999999999998E-4</v>
      </c>
      <c r="I6" s="38">
        <v>140</v>
      </c>
      <c r="J6" s="2">
        <v>3</v>
      </c>
      <c r="K6" s="3">
        <f t="shared" si="1"/>
        <v>2.2214323795983652E-2</v>
      </c>
      <c r="L6" s="3"/>
      <c r="M6" s="38">
        <v>105</v>
      </c>
      <c r="N6" s="2">
        <v>1</v>
      </c>
      <c r="O6" s="3">
        <f t="shared" si="2"/>
        <v>5.9229174599145411E-3</v>
      </c>
      <c r="P6" s="3">
        <v>2.9100000000000001E-2</v>
      </c>
      <c r="Q6" s="38">
        <v>35</v>
      </c>
    </row>
    <row r="7" spans="1:17">
      <c r="A7" t="s">
        <v>69</v>
      </c>
      <c r="B7" s="2">
        <v>0</v>
      </c>
      <c r="C7" s="3">
        <f t="shared" si="0"/>
        <v>0</v>
      </c>
      <c r="D7" s="3"/>
      <c r="E7" s="22">
        <v>0</v>
      </c>
      <c r="F7" s="2">
        <v>3</v>
      </c>
      <c r="G7" s="3">
        <f t="shared" si="3"/>
        <v>9.2343741883850802E-3</v>
      </c>
      <c r="H7" s="8">
        <v>8.0000000000000004E-4</v>
      </c>
      <c r="I7" s="38">
        <v>48</v>
      </c>
      <c r="J7" s="2">
        <v>0</v>
      </c>
      <c r="K7" s="3">
        <f t="shared" si="1"/>
        <v>0</v>
      </c>
      <c r="L7" s="3"/>
      <c r="M7" s="38">
        <v>0</v>
      </c>
      <c r="N7" s="2">
        <v>2</v>
      </c>
      <c r="O7" s="3">
        <f t="shared" si="2"/>
        <v>5.4152388204932941E-3</v>
      </c>
      <c r="P7" s="3">
        <v>2.9700000000000001E-2</v>
      </c>
      <c r="Q7" s="38">
        <v>32</v>
      </c>
    </row>
    <row r="8" spans="1:17">
      <c r="A8" s="2" t="s">
        <v>13</v>
      </c>
      <c r="B8" s="4"/>
      <c r="C8" s="3">
        <f t="shared" si="0"/>
        <v>0.166347049476741</v>
      </c>
      <c r="D8" s="3">
        <v>0.41149999999999998</v>
      </c>
      <c r="E8" s="23">
        <v>880.44</v>
      </c>
      <c r="F8" s="4"/>
      <c r="G8" s="3">
        <f t="shared" si="3"/>
        <v>0</v>
      </c>
      <c r="H8" s="3"/>
      <c r="I8" s="39">
        <v>0</v>
      </c>
      <c r="J8" s="4"/>
      <c r="K8" s="3">
        <f t="shared" si="1"/>
        <v>0.22590486345595642</v>
      </c>
      <c r="L8" s="3"/>
      <c r="M8" s="39">
        <v>1067.78</v>
      </c>
      <c r="N8" s="2"/>
      <c r="O8" s="3">
        <f t="shared" si="2"/>
        <v>3.1866988196471636E-2</v>
      </c>
      <c r="P8" s="3">
        <v>0.28789999999999999</v>
      </c>
      <c r="Q8" s="39">
        <v>188.31</v>
      </c>
    </row>
    <row r="9" spans="1:17">
      <c r="A9" s="2" t="s">
        <v>24</v>
      </c>
      <c r="B9" s="4"/>
      <c r="C9" s="3">
        <f t="shared" si="0"/>
        <v>0.2628538067824342</v>
      </c>
      <c r="D9" s="3">
        <v>0.25650000000000001</v>
      </c>
      <c r="E9" s="23">
        <v>1391.23</v>
      </c>
      <c r="F9" s="4"/>
      <c r="G9" s="3">
        <f t="shared" si="3"/>
        <v>0.45691106335742609</v>
      </c>
      <c r="H9" s="3">
        <v>0.28699999999999998</v>
      </c>
      <c r="I9" s="39">
        <v>2375.0100000000002</v>
      </c>
      <c r="J9" s="4"/>
      <c r="K9" s="3">
        <f t="shared" si="1"/>
        <v>0.23743727098089992</v>
      </c>
      <c r="L9" s="3"/>
      <c r="M9" s="39">
        <v>1122.29</v>
      </c>
      <c r="N9" s="2"/>
      <c r="O9" s="3">
        <f t="shared" si="2"/>
        <v>0.42232262977535223</v>
      </c>
      <c r="P9" s="3">
        <v>0.1774</v>
      </c>
      <c r="Q9" s="39">
        <v>2495.61</v>
      </c>
    </row>
    <row r="10" spans="1:17">
      <c r="A10" s="2" t="s">
        <v>71</v>
      </c>
      <c r="B10" s="4"/>
      <c r="C10" s="3">
        <f t="shared" si="0"/>
        <v>0.28739473888062816</v>
      </c>
      <c r="D10" s="3">
        <v>6.2100000000000002E-2</v>
      </c>
      <c r="E10" s="23">
        <v>1521.12</v>
      </c>
      <c r="F10" s="4"/>
      <c r="G10" s="3">
        <f t="shared" si="3"/>
        <v>0.25874716475854997</v>
      </c>
      <c r="H10" s="3">
        <v>0.1424</v>
      </c>
      <c r="I10" s="39">
        <v>1344.96</v>
      </c>
      <c r="J10" s="4"/>
      <c r="K10" s="3">
        <f t="shared" si="1"/>
        <v>0.24152470655936092</v>
      </c>
      <c r="L10" s="3"/>
      <c r="M10" s="39">
        <v>1141.6099999999999</v>
      </c>
      <c r="N10" s="2"/>
      <c r="O10" s="3">
        <f t="shared" si="2"/>
        <v>0.23528028091551381</v>
      </c>
      <c r="P10" s="3">
        <v>9.3100000000000002E-2</v>
      </c>
      <c r="Q10" s="39">
        <v>1390.33</v>
      </c>
    </row>
    <row r="11" spans="1:17">
      <c r="A11" s="1" t="s">
        <v>16</v>
      </c>
      <c r="B11" s="5"/>
      <c r="C11" s="35"/>
      <c r="D11" s="5"/>
      <c r="E11" s="24">
        <f>SUM(E4:E10)</f>
        <v>5292.79</v>
      </c>
      <c r="F11" s="5"/>
      <c r="G11" s="5"/>
      <c r="H11" s="5"/>
      <c r="I11" s="40">
        <f>SUM(I4:I10)</f>
        <v>5197.97</v>
      </c>
      <c r="J11" s="5"/>
      <c r="K11" s="5"/>
      <c r="L11" s="5"/>
      <c r="M11" s="40">
        <f>SUM(M4:M10)</f>
        <v>4726.6799999999994</v>
      </c>
      <c r="N11" s="1"/>
      <c r="O11" s="1"/>
      <c r="P11" s="1"/>
      <c r="Q11" s="40">
        <f>SUM(Q4:Q10)</f>
        <v>5909.25</v>
      </c>
    </row>
    <row r="12" spans="1:17">
      <c r="A12" s="13" t="s">
        <v>53</v>
      </c>
      <c r="B12" s="14"/>
      <c r="C12" s="16">
        <f>SUM(C4:C7)</f>
        <v>0.28340440486019663</v>
      </c>
      <c r="D12" s="16"/>
      <c r="E12" s="16"/>
      <c r="F12" s="16"/>
      <c r="G12" s="16">
        <f>SUM(G4:G7)</f>
        <v>0.28434177188402393</v>
      </c>
      <c r="H12" s="16"/>
      <c r="I12" s="16"/>
      <c r="J12" s="16"/>
      <c r="K12" s="16">
        <f>SUM(K4:K7)</f>
        <v>0.29513315900378279</v>
      </c>
      <c r="L12" s="16"/>
      <c r="M12" s="16"/>
      <c r="N12" s="16"/>
      <c r="O12" s="16">
        <f>SUM(O4:O7)</f>
        <v>0.31053010111266233</v>
      </c>
      <c r="P12" s="15"/>
      <c r="Q12" s="15"/>
    </row>
    <row r="13" spans="1:17" ht="14" customHeight="1">
      <c r="A13" s="37" t="s">
        <v>17</v>
      </c>
      <c r="B13" s="47">
        <f>SUM(C8:C10)</f>
        <v>0.71659559513980331</v>
      </c>
      <c r="C13" s="47"/>
      <c r="D13" s="47"/>
      <c r="E13" s="47"/>
      <c r="F13" s="47">
        <f>SUM(G8:G10)</f>
        <v>0.71565822811597601</v>
      </c>
      <c r="G13" s="47"/>
      <c r="H13" s="47"/>
      <c r="I13" s="47"/>
      <c r="J13" s="47">
        <f>SUM(K8:K10)</f>
        <v>0.70486684099621733</v>
      </c>
      <c r="K13" s="47"/>
      <c r="L13" s="47"/>
      <c r="M13" s="47"/>
      <c r="N13" s="47">
        <f>SUM(O8:O10)</f>
        <v>0.68946989888733767</v>
      </c>
      <c r="O13" s="47"/>
      <c r="P13" s="47"/>
      <c r="Q13" s="47"/>
    </row>
    <row r="14" spans="1:17" ht="18.5" customHeight="1">
      <c r="A14" t="s">
        <v>18</v>
      </c>
      <c r="B14" s="47">
        <v>0.59</v>
      </c>
      <c r="C14" s="47"/>
      <c r="D14" s="47"/>
      <c r="E14" s="47"/>
      <c r="F14" s="49">
        <v>0.58099999999999996</v>
      </c>
      <c r="G14" s="49"/>
      <c r="H14" s="49"/>
      <c r="I14" s="49"/>
      <c r="J14" s="47">
        <v>0.49</v>
      </c>
      <c r="K14" s="47"/>
      <c r="L14" s="47"/>
      <c r="M14" s="47"/>
      <c r="N14" s="48">
        <v>0.42499999999999999</v>
      </c>
      <c r="O14" s="48"/>
      <c r="P14" s="48"/>
      <c r="Q14" s="48"/>
    </row>
    <row r="15" spans="1:17" hidden="1">
      <c r="A15" t="s">
        <v>19</v>
      </c>
      <c r="B15" s="45">
        <v>361</v>
      </c>
      <c r="C15" s="45"/>
      <c r="D15" s="45"/>
      <c r="E15" s="45"/>
      <c r="F15" s="45">
        <v>436</v>
      </c>
      <c r="G15" s="45"/>
      <c r="H15" s="45"/>
      <c r="I15" s="45"/>
      <c r="J15" s="45">
        <v>465</v>
      </c>
      <c r="K15" s="45"/>
      <c r="L15" s="45"/>
      <c r="M15" s="45"/>
      <c r="N15" s="45">
        <v>560</v>
      </c>
      <c r="O15" s="45"/>
      <c r="P15" s="45"/>
      <c r="Q15" s="45"/>
    </row>
    <row r="16" spans="1:17" hidden="1">
      <c r="A16" t="s">
        <v>20</v>
      </c>
      <c r="B16" s="45" t="s">
        <v>30</v>
      </c>
      <c r="C16" s="45"/>
      <c r="D16" s="45"/>
      <c r="E16" s="45"/>
      <c r="F16" s="45" t="s">
        <v>25</v>
      </c>
      <c r="G16" s="45"/>
      <c r="H16" s="45"/>
      <c r="I16" s="45"/>
      <c r="J16" s="45" t="s">
        <v>25</v>
      </c>
      <c r="K16" s="45"/>
      <c r="L16" s="45"/>
      <c r="M16" s="45"/>
      <c r="N16" s="2"/>
      <c r="O16" s="2" t="s">
        <v>25</v>
      </c>
      <c r="P16" s="2"/>
      <c r="Q16" s="2"/>
    </row>
    <row r="17" spans="1:17" hidden="1">
      <c r="A17" t="s">
        <v>21</v>
      </c>
      <c r="B17" s="45" t="s">
        <v>29</v>
      </c>
      <c r="C17" s="45"/>
      <c r="D17" s="45"/>
      <c r="E17" s="45"/>
      <c r="F17" s="45" t="s">
        <v>25</v>
      </c>
      <c r="G17" s="45"/>
      <c r="H17" s="45"/>
      <c r="I17" s="45"/>
      <c r="J17" s="45" t="s">
        <v>25</v>
      </c>
      <c r="K17" s="45"/>
      <c r="L17" s="45"/>
      <c r="M17" s="45"/>
      <c r="N17" s="2"/>
      <c r="O17" s="2" t="s">
        <v>25</v>
      </c>
      <c r="P17" s="2"/>
      <c r="Q17" s="2"/>
    </row>
    <row r="18" spans="1:17">
      <c r="A18" t="s">
        <v>26</v>
      </c>
      <c r="B18" s="47">
        <v>1</v>
      </c>
      <c r="C18" s="47"/>
      <c r="D18" s="47"/>
      <c r="E18" s="47"/>
      <c r="F18" s="49">
        <v>0.99970000000000003</v>
      </c>
      <c r="G18" s="49"/>
      <c r="H18" s="49"/>
      <c r="I18" s="49"/>
      <c r="J18" s="58">
        <v>0.99966999999999995</v>
      </c>
      <c r="K18" s="58"/>
      <c r="L18" s="58"/>
      <c r="M18" s="58"/>
      <c r="N18" s="53">
        <v>0.999996</v>
      </c>
      <c r="O18" s="54"/>
      <c r="P18" s="54"/>
      <c r="Q18" s="55"/>
    </row>
    <row r="19" spans="1:17">
      <c r="A19" t="s">
        <v>37</v>
      </c>
      <c r="B19" s="47"/>
      <c r="C19" s="47"/>
      <c r="D19" s="47"/>
      <c r="E19" s="47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 spans="1:17">
      <c r="A20" t="s">
        <v>27</v>
      </c>
      <c r="B20" s="45">
        <v>0</v>
      </c>
      <c r="C20" s="45"/>
      <c r="D20" s="45"/>
      <c r="E20" s="45"/>
      <c r="F20" s="45">
        <v>4</v>
      </c>
      <c r="G20" s="45"/>
      <c r="H20" s="45"/>
      <c r="I20" s="45"/>
      <c r="J20" s="45">
        <v>4</v>
      </c>
      <c r="K20" s="45"/>
      <c r="L20" s="45"/>
      <c r="M20" s="45"/>
      <c r="N20" s="41">
        <v>4</v>
      </c>
      <c r="O20" s="56"/>
      <c r="P20" s="56"/>
      <c r="Q20" s="42"/>
    </row>
    <row r="21" spans="1:17">
      <c r="A21" t="s">
        <v>28</v>
      </c>
      <c r="B21" s="45">
        <v>0</v>
      </c>
      <c r="C21" s="45"/>
      <c r="D21" s="45"/>
      <c r="E21" s="45"/>
      <c r="F21" s="45">
        <v>19</v>
      </c>
      <c r="G21" s="45"/>
      <c r="H21" s="45"/>
      <c r="I21" s="45"/>
      <c r="J21" s="45">
        <v>17</v>
      </c>
      <c r="K21" s="45"/>
      <c r="L21" s="45"/>
      <c r="M21" s="45"/>
      <c r="N21" s="41">
        <v>20</v>
      </c>
      <c r="O21" s="56"/>
      <c r="P21" s="56"/>
      <c r="Q21" s="42"/>
    </row>
    <row r="22" spans="1:17">
      <c r="B22" s="2" t="s">
        <v>34</v>
      </c>
      <c r="C22" s="2" t="s">
        <v>35</v>
      </c>
      <c r="D22" s="41" t="s">
        <v>33</v>
      </c>
      <c r="E22" s="42"/>
      <c r="F22" s="2" t="s">
        <v>34</v>
      </c>
      <c r="G22" s="2" t="s">
        <v>36</v>
      </c>
      <c r="H22" s="41" t="s">
        <v>33</v>
      </c>
      <c r="I22" s="42"/>
      <c r="J22" s="2" t="s">
        <v>32</v>
      </c>
      <c r="K22" s="2" t="s">
        <v>32</v>
      </c>
      <c r="L22" s="41" t="s">
        <v>33</v>
      </c>
      <c r="M22" s="42"/>
      <c r="N22" s="2" t="s">
        <v>32</v>
      </c>
      <c r="O22" s="2" t="s">
        <v>32</v>
      </c>
      <c r="P22" s="45" t="s">
        <v>33</v>
      </c>
      <c r="Q22" s="45"/>
    </row>
    <row r="23" spans="1:17">
      <c r="A23" t="s">
        <v>22</v>
      </c>
      <c r="B23" s="2">
        <v>12.1</v>
      </c>
      <c r="C23" s="2"/>
      <c r="D23" s="41"/>
      <c r="E23" s="42"/>
      <c r="F23" s="2">
        <v>139</v>
      </c>
      <c r="G23" s="2"/>
      <c r="H23" s="41"/>
      <c r="I23" s="42"/>
      <c r="J23" s="2"/>
      <c r="K23" s="2">
        <v>8.6</v>
      </c>
      <c r="L23" s="43"/>
      <c r="M23" s="44"/>
      <c r="N23" s="2">
        <v>1.04</v>
      </c>
      <c r="O23" s="4"/>
      <c r="P23" s="45"/>
      <c r="Q23" s="45"/>
    </row>
    <row r="24" spans="1:17">
      <c r="A24" s="6" t="s">
        <v>23</v>
      </c>
      <c r="B24" s="2">
        <v>5.78</v>
      </c>
      <c r="C24" s="2">
        <v>3335.35</v>
      </c>
      <c r="D24" s="43">
        <f>5.78/3335.35</f>
        <v>1.7329515643035964E-3</v>
      </c>
      <c r="E24" s="44"/>
      <c r="H24" s="41"/>
      <c r="I24" s="42"/>
      <c r="J24" s="2">
        <v>3634.5</v>
      </c>
      <c r="K24" s="2">
        <v>4.62</v>
      </c>
      <c r="L24" s="43">
        <f>K24/J24</f>
        <v>1.2711514651258771E-3</v>
      </c>
      <c r="M24" s="44"/>
      <c r="N24" s="2">
        <v>0.5</v>
      </c>
      <c r="O24" s="4">
        <v>474.95</v>
      </c>
      <c r="P24" s="46">
        <f>N24/O24</f>
        <v>1.0527423939362039E-3</v>
      </c>
      <c r="Q24" s="46"/>
    </row>
    <row r="25" spans="1:17">
      <c r="A25" s="6" t="s">
        <v>24</v>
      </c>
      <c r="B25" s="2">
        <v>6.32</v>
      </c>
      <c r="C25" s="2">
        <v>3284.31</v>
      </c>
      <c r="D25" s="43">
        <f>6.32/3284.31</f>
        <v>1.9243006902515294E-3</v>
      </c>
      <c r="E25" s="44"/>
      <c r="F25" s="2">
        <v>139</v>
      </c>
      <c r="G25" s="2">
        <v>6153</v>
      </c>
      <c r="H25" s="50">
        <f>F25/G25</f>
        <v>2.2590606208353649E-2</v>
      </c>
      <c r="I25" s="51"/>
      <c r="J25" s="2">
        <v>1800</v>
      </c>
      <c r="K25" s="2">
        <v>3.98</v>
      </c>
      <c r="L25" s="43">
        <f>K25/J25</f>
        <v>2.2111111111111112E-3</v>
      </c>
      <c r="M25" s="44"/>
      <c r="N25" s="2">
        <v>0.6</v>
      </c>
      <c r="O25" s="4">
        <v>3878.12</v>
      </c>
      <c r="P25" s="46">
        <f>N25/O25</f>
        <v>1.5471413984095386E-4</v>
      </c>
      <c r="Q25" s="46"/>
    </row>
    <row r="27" spans="1:17">
      <c r="A27" t="s">
        <v>59</v>
      </c>
      <c r="B27" s="2"/>
      <c r="C27" s="2"/>
      <c r="D27" s="2"/>
      <c r="E27" s="2">
        <f>5*E4/(E8+E9)</f>
        <v>1.2611867040547262</v>
      </c>
      <c r="F27" s="2"/>
      <c r="G27" s="2"/>
      <c r="H27" s="2"/>
      <c r="I27" s="2">
        <f>I4*5/(I8+I9)</f>
        <v>1.2063107102706936</v>
      </c>
      <c r="J27" s="2"/>
      <c r="K27" s="2"/>
      <c r="L27" s="2"/>
      <c r="M27" s="2">
        <f>M4*5/(M8+M9)</f>
        <v>1.3081773641938388</v>
      </c>
      <c r="N27" s="2"/>
      <c r="O27" s="2"/>
      <c r="P27" s="2"/>
      <c r="Q27" s="36">
        <f>Q4*5/(Q8+Q9)</f>
        <v>1.0674684789412501</v>
      </c>
    </row>
    <row r="30" spans="1:17" ht="16" thickBot="1"/>
    <row r="31" spans="1:17" ht="33" thickBot="1">
      <c r="A31" s="10" t="s">
        <v>38</v>
      </c>
      <c r="B31" s="10" t="s">
        <v>39</v>
      </c>
      <c r="C31" s="10" t="s">
        <v>46</v>
      </c>
      <c r="D31" s="10" t="s">
        <v>40</v>
      </c>
      <c r="E31" s="10" t="s">
        <v>13</v>
      </c>
      <c r="F31" s="10" t="s">
        <v>41</v>
      </c>
      <c r="G31" s="12" t="s">
        <v>47</v>
      </c>
    </row>
    <row r="32" spans="1:17" ht="17" thickBot="1">
      <c r="A32" s="11" t="s">
        <v>42</v>
      </c>
      <c r="B32" s="12">
        <f>C4</f>
        <v>0.1082604826565951</v>
      </c>
      <c r="C32" s="12">
        <f>C5+C6</f>
        <v>0.1751439222036015</v>
      </c>
      <c r="D32" s="12">
        <v>0.26</v>
      </c>
      <c r="E32" s="12">
        <v>0.17</v>
      </c>
      <c r="F32" s="12">
        <v>0.28999999999999998</v>
      </c>
      <c r="G32" s="12">
        <f>D32+E32+F32</f>
        <v>0.72</v>
      </c>
    </row>
    <row r="33" spans="1:7" ht="17" thickBot="1">
      <c r="A33" s="11" t="s">
        <v>43</v>
      </c>
      <c r="B33" s="12">
        <f>G4</f>
        <v>0.1102353418738469</v>
      </c>
      <c r="C33" s="12">
        <f>G5+G6+G7</f>
        <v>0.17410643001017703</v>
      </c>
      <c r="D33" s="12">
        <v>0.46</v>
      </c>
      <c r="E33" s="12">
        <v>0</v>
      </c>
      <c r="F33" s="12">
        <v>0.26</v>
      </c>
      <c r="G33" s="12">
        <f>D33+E33+F33</f>
        <v>0.72</v>
      </c>
    </row>
    <row r="34" spans="1:7" ht="17" thickBot="1">
      <c r="A34" s="11" t="s">
        <v>44</v>
      </c>
      <c r="B34" s="12">
        <f>K4</f>
        <v>0.12122673842951079</v>
      </c>
      <c r="C34" s="12">
        <f>K5+K6</f>
        <v>0.17390642057427202</v>
      </c>
      <c r="D34" s="12">
        <f>K9</f>
        <v>0.23743727098089992</v>
      </c>
      <c r="E34" s="12">
        <f>K8</f>
        <v>0.22590486345595642</v>
      </c>
      <c r="F34" s="12">
        <f>K10</f>
        <v>0.24152470655936092</v>
      </c>
      <c r="G34" s="12">
        <f>D34+E34+F34</f>
        <v>0.70486684099621733</v>
      </c>
    </row>
    <row r="35" spans="1:7" ht="17" thickBot="1">
      <c r="A35" s="11" t="s">
        <v>45</v>
      </c>
      <c r="B35" s="12">
        <f>O4</f>
        <v>9.6966620129458059E-2</v>
      </c>
      <c r="C35" s="12">
        <f>O5+O6+O7</f>
        <v>0.21356348098320432</v>
      </c>
      <c r="D35" s="12">
        <f>O9</f>
        <v>0.42232262977535223</v>
      </c>
      <c r="E35" s="12">
        <f>O8</f>
        <v>3.1866988196471636E-2</v>
      </c>
      <c r="F35" s="12">
        <f>O10</f>
        <v>0.23528028091551381</v>
      </c>
      <c r="G35" s="12">
        <f>D35+E35+F35</f>
        <v>0.68946989888733767</v>
      </c>
    </row>
  </sheetData>
  <mergeCells count="54">
    <mergeCell ref="N18:Q18"/>
    <mergeCell ref="N21:Q21"/>
    <mergeCell ref="N20:Q20"/>
    <mergeCell ref="J2:M2"/>
    <mergeCell ref="N2:Q2"/>
    <mergeCell ref="J18:M18"/>
    <mergeCell ref="J20:M20"/>
    <mergeCell ref="J21:M21"/>
    <mergeCell ref="B21:E21"/>
    <mergeCell ref="B19:E19"/>
    <mergeCell ref="B15:E15"/>
    <mergeCell ref="B2:E2"/>
    <mergeCell ref="B20:E20"/>
    <mergeCell ref="F2:I2"/>
    <mergeCell ref="B14:E14"/>
    <mergeCell ref="B16:E16"/>
    <mergeCell ref="B17:E17"/>
    <mergeCell ref="B18:E18"/>
    <mergeCell ref="F18:I18"/>
    <mergeCell ref="F17:I17"/>
    <mergeCell ref="F16:I16"/>
    <mergeCell ref="B13:E13"/>
    <mergeCell ref="D24:E24"/>
    <mergeCell ref="D25:E25"/>
    <mergeCell ref="H22:I22"/>
    <mergeCell ref="H23:I23"/>
    <mergeCell ref="H24:I24"/>
    <mergeCell ref="H25:I25"/>
    <mergeCell ref="D22:E22"/>
    <mergeCell ref="D23:E23"/>
    <mergeCell ref="F21:I21"/>
    <mergeCell ref="F20:I20"/>
    <mergeCell ref="N13:Q13"/>
    <mergeCell ref="N14:Q14"/>
    <mergeCell ref="N15:Q15"/>
    <mergeCell ref="F15:I15"/>
    <mergeCell ref="F14:I14"/>
    <mergeCell ref="F13:I13"/>
    <mergeCell ref="J13:M13"/>
    <mergeCell ref="J14:M14"/>
    <mergeCell ref="J15:M15"/>
    <mergeCell ref="F19:I19"/>
    <mergeCell ref="J19:M19"/>
    <mergeCell ref="N19:Q19"/>
    <mergeCell ref="J16:M16"/>
    <mergeCell ref="J17:M17"/>
    <mergeCell ref="L22:M22"/>
    <mergeCell ref="L23:M23"/>
    <mergeCell ref="L24:M24"/>
    <mergeCell ref="L25:M25"/>
    <mergeCell ref="P23:Q23"/>
    <mergeCell ref="P22:Q22"/>
    <mergeCell ref="P24:Q24"/>
    <mergeCell ref="P25:Q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B6A0-C971-4D37-A98C-DE24791AD266}">
  <dimension ref="B3:R12"/>
  <sheetViews>
    <sheetView workbookViewId="0">
      <selection activeCell="L5" sqref="L5:L7"/>
    </sheetView>
  </sheetViews>
  <sheetFormatPr baseColWidth="10" defaultColWidth="8.83203125" defaultRowHeight="15"/>
  <cols>
    <col min="2" max="2" width="22.5" customWidth="1"/>
  </cols>
  <sheetData>
    <row r="3" spans="2:18">
      <c r="B3" s="2"/>
      <c r="C3" s="41" t="s">
        <v>0</v>
      </c>
      <c r="D3" s="56"/>
      <c r="E3" s="56"/>
      <c r="F3" s="42"/>
      <c r="G3" s="59" t="s">
        <v>1</v>
      </c>
      <c r="H3" s="60"/>
      <c r="I3" s="60"/>
      <c r="J3" s="61"/>
      <c r="K3" s="59" t="s">
        <v>2</v>
      </c>
      <c r="L3" s="60"/>
      <c r="M3" s="60"/>
      <c r="N3" s="61"/>
      <c r="O3" s="59" t="s">
        <v>3</v>
      </c>
      <c r="P3" s="60"/>
      <c r="Q3" s="60"/>
      <c r="R3" s="61"/>
    </row>
    <row r="4" spans="2:18">
      <c r="B4" s="2" t="s">
        <v>4</v>
      </c>
      <c r="C4" s="2" t="s">
        <v>5</v>
      </c>
      <c r="D4" s="2" t="s">
        <v>6</v>
      </c>
      <c r="E4" s="2" t="s">
        <v>31</v>
      </c>
      <c r="F4" s="2" t="s">
        <v>7</v>
      </c>
      <c r="G4" s="2" t="s">
        <v>5</v>
      </c>
      <c r="H4" s="2" t="s">
        <v>6</v>
      </c>
      <c r="I4" s="2" t="s">
        <v>31</v>
      </c>
      <c r="J4" s="2" t="s">
        <v>7</v>
      </c>
      <c r="K4" s="2" t="s">
        <v>5</v>
      </c>
      <c r="L4" s="2" t="s">
        <v>6</v>
      </c>
      <c r="M4" s="2" t="s">
        <v>31</v>
      </c>
      <c r="N4" s="2" t="s">
        <v>7</v>
      </c>
      <c r="O4" s="2" t="s">
        <v>5</v>
      </c>
      <c r="P4" s="2" t="s">
        <v>8</v>
      </c>
      <c r="Q4" s="2" t="s">
        <v>31</v>
      </c>
      <c r="R4" s="2" t="s">
        <v>7</v>
      </c>
    </row>
    <row r="5" spans="2:18">
      <c r="B5" s="2" t="s">
        <v>9</v>
      </c>
      <c r="C5" s="2">
        <v>1</v>
      </c>
      <c r="D5" s="3">
        <v>0.1082604826565951</v>
      </c>
      <c r="E5" s="3">
        <v>0.89929999999999999</v>
      </c>
      <c r="F5" s="2">
        <v>573</v>
      </c>
      <c r="G5" s="2">
        <v>1</v>
      </c>
      <c r="H5" s="3">
        <v>0.1102353418738469</v>
      </c>
      <c r="I5" s="3">
        <v>0.81389999999999996</v>
      </c>
      <c r="J5" s="2">
        <v>573</v>
      </c>
      <c r="K5" s="2">
        <v>1</v>
      </c>
      <c r="L5" s="3">
        <v>0.12122673842951079</v>
      </c>
      <c r="M5" s="2"/>
      <c r="N5" s="2">
        <v>573</v>
      </c>
      <c r="O5" s="2">
        <v>1</v>
      </c>
      <c r="P5" s="3">
        <v>9.6966620129458059E-2</v>
      </c>
      <c r="Q5" s="3">
        <v>0.90110000000000001</v>
      </c>
      <c r="R5" s="2">
        <v>573</v>
      </c>
    </row>
    <row r="6" spans="2:18">
      <c r="B6" s="2" t="s">
        <v>10</v>
      </c>
      <c r="C6" s="2">
        <v>3</v>
      </c>
      <c r="D6" s="3">
        <v>0.13546730552317399</v>
      </c>
      <c r="E6" s="3">
        <v>0.2195</v>
      </c>
      <c r="F6" s="2">
        <v>717</v>
      </c>
      <c r="G6" s="2">
        <v>3</v>
      </c>
      <c r="H6" s="3">
        <v>0.13793846443900215</v>
      </c>
      <c r="I6" s="3">
        <v>0.41270000000000001</v>
      </c>
      <c r="J6" s="2">
        <v>717</v>
      </c>
      <c r="K6" s="2">
        <v>3</v>
      </c>
      <c r="L6" s="3">
        <v>0.15169209677828838</v>
      </c>
      <c r="M6" s="2"/>
      <c r="N6" s="2">
        <v>717</v>
      </c>
      <c r="O6" s="2">
        <v>5</v>
      </c>
      <c r="P6" s="3">
        <v>0.20222532470279647</v>
      </c>
      <c r="Q6" s="3">
        <v>0.2969</v>
      </c>
      <c r="R6" s="2">
        <v>1195</v>
      </c>
    </row>
    <row r="7" spans="2:18">
      <c r="B7" s="2" t="s">
        <v>11</v>
      </c>
      <c r="C7" s="2">
        <v>6</v>
      </c>
      <c r="D7" s="3">
        <v>3.9676616680427525E-2</v>
      </c>
      <c r="E7" s="3">
        <v>7.1400000000000005E-2</v>
      </c>
      <c r="F7" s="2">
        <v>210</v>
      </c>
      <c r="G7" s="2">
        <v>4</v>
      </c>
      <c r="H7" s="3">
        <v>2.6933591382789817E-2</v>
      </c>
      <c r="I7" s="3">
        <v>8.9999999999999998E-4</v>
      </c>
      <c r="J7" s="2">
        <v>140</v>
      </c>
      <c r="K7" s="2">
        <v>3</v>
      </c>
      <c r="L7" s="3">
        <v>2.2214323795983652E-2</v>
      </c>
      <c r="M7" s="2"/>
      <c r="N7" s="2">
        <v>105</v>
      </c>
      <c r="O7" s="2">
        <v>1</v>
      </c>
      <c r="P7" s="3">
        <v>5.9229174599145411E-3</v>
      </c>
      <c r="Q7" s="3">
        <v>2.9100000000000001E-2</v>
      </c>
      <c r="R7" s="2">
        <v>35</v>
      </c>
    </row>
    <row r="8" spans="2:18">
      <c r="B8" s="2" t="s">
        <v>12</v>
      </c>
      <c r="C8" s="2">
        <v>0</v>
      </c>
      <c r="D8" s="3">
        <v>0</v>
      </c>
      <c r="E8" s="3"/>
      <c r="F8" s="2">
        <v>0</v>
      </c>
      <c r="G8" s="2">
        <v>3</v>
      </c>
      <c r="H8" s="3">
        <v>9.2343741883850802E-3</v>
      </c>
      <c r="I8" s="3">
        <v>8.0000000000000004E-4</v>
      </c>
      <c r="J8" s="2">
        <v>48</v>
      </c>
      <c r="K8" s="2">
        <v>0</v>
      </c>
      <c r="L8" s="2">
        <v>0</v>
      </c>
      <c r="M8" s="2"/>
      <c r="N8" s="2">
        <v>0</v>
      </c>
      <c r="O8" s="2">
        <v>2</v>
      </c>
      <c r="P8" s="3">
        <v>5.4152388204932941E-3</v>
      </c>
      <c r="Q8" s="3">
        <v>2.9700000000000001E-2</v>
      </c>
      <c r="R8" s="2">
        <v>32</v>
      </c>
    </row>
    <row r="9" spans="2:18">
      <c r="B9" s="2" t="s">
        <v>13</v>
      </c>
      <c r="C9" s="2"/>
      <c r="D9" s="3">
        <v>0.166347049476741</v>
      </c>
      <c r="E9" s="3">
        <v>0.41149999999999998</v>
      </c>
      <c r="F9" s="4">
        <v>880.44</v>
      </c>
      <c r="G9" s="4"/>
      <c r="H9" s="4">
        <v>0</v>
      </c>
      <c r="I9" s="4"/>
      <c r="J9" s="4">
        <v>0</v>
      </c>
      <c r="K9" s="4"/>
      <c r="L9" s="4">
        <v>0.22590486345595642</v>
      </c>
      <c r="M9" s="4"/>
      <c r="N9" s="4">
        <v>1067.78</v>
      </c>
      <c r="O9" s="4"/>
      <c r="P9" s="4">
        <v>3.1866988196471636E-2</v>
      </c>
      <c r="Q9" s="4">
        <v>0.28789999999999999</v>
      </c>
      <c r="R9" s="4">
        <v>188.31</v>
      </c>
    </row>
    <row r="10" spans="2:18">
      <c r="B10" s="2" t="s">
        <v>14</v>
      </c>
      <c r="C10" s="2"/>
      <c r="D10" s="3">
        <v>0.2628538067824342</v>
      </c>
      <c r="E10" s="3">
        <v>0.25650000000000001</v>
      </c>
      <c r="F10" s="4">
        <v>1391.23</v>
      </c>
      <c r="G10" s="4"/>
      <c r="H10" s="4">
        <v>0.45691106335742609</v>
      </c>
      <c r="I10" s="4">
        <v>0.28699999999999998</v>
      </c>
      <c r="J10" s="4">
        <v>2375.0100000000002</v>
      </c>
      <c r="K10" s="4"/>
      <c r="L10" s="4">
        <v>0.23743727098089992</v>
      </c>
      <c r="M10" s="4"/>
      <c r="N10" s="4">
        <v>1122.29</v>
      </c>
      <c r="O10" s="4"/>
      <c r="P10" s="4">
        <v>0.42232262977535223</v>
      </c>
      <c r="Q10" s="4">
        <v>0.1774</v>
      </c>
      <c r="R10" s="4">
        <v>2495.61</v>
      </c>
    </row>
    <row r="11" spans="2:18">
      <c r="B11" s="2" t="s">
        <v>15</v>
      </c>
      <c r="C11" s="2"/>
      <c r="D11" s="3">
        <v>0.28739473888062816</v>
      </c>
      <c r="E11" s="3">
        <v>6.2100000000000002E-2</v>
      </c>
      <c r="F11" s="4">
        <v>1521.12</v>
      </c>
      <c r="G11" s="4"/>
      <c r="H11" s="4">
        <v>0.25874716475854997</v>
      </c>
      <c r="I11" s="4">
        <v>0.1424</v>
      </c>
      <c r="J11" s="4">
        <v>1344.96</v>
      </c>
      <c r="K11" s="4"/>
      <c r="L11" s="4">
        <v>0.24152470655936092</v>
      </c>
      <c r="M11" s="4"/>
      <c r="N11" s="4">
        <v>1141.6099999999999</v>
      </c>
      <c r="O11" s="4"/>
      <c r="P11" s="4">
        <v>0.23528028091551381</v>
      </c>
      <c r="Q11" s="4">
        <v>9.3100000000000002E-2</v>
      </c>
      <c r="R11" s="4">
        <v>1390.33</v>
      </c>
    </row>
    <row r="12" spans="2:18">
      <c r="B12" s="1" t="s">
        <v>16</v>
      </c>
      <c r="C12" s="1"/>
      <c r="D12" s="1"/>
      <c r="E12" s="1"/>
      <c r="F12" s="5">
        <v>5292.79</v>
      </c>
      <c r="G12" s="5"/>
      <c r="H12" s="5"/>
      <c r="I12" s="5"/>
      <c r="J12" s="5">
        <v>5197.97</v>
      </c>
      <c r="K12" s="5"/>
      <c r="L12" s="5"/>
      <c r="M12" s="5"/>
      <c r="N12" s="5">
        <v>4726.6799999999994</v>
      </c>
      <c r="O12" s="5"/>
      <c r="P12" s="5"/>
      <c r="Q12" s="5"/>
      <c r="R12" s="5">
        <v>5909.25</v>
      </c>
    </row>
  </sheetData>
  <mergeCells count="4">
    <mergeCell ref="C3:F3"/>
    <mergeCell ref="G3:J3"/>
    <mergeCell ref="K3:N3"/>
    <mergeCell ref="O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77C8-0EA0-42CA-80F4-066704DB29BF}">
  <dimension ref="B3:I7"/>
  <sheetViews>
    <sheetView workbookViewId="0">
      <selection activeCell="C14" sqref="C14"/>
    </sheetView>
  </sheetViews>
  <sheetFormatPr baseColWidth="10" defaultColWidth="8.83203125" defaultRowHeight="15"/>
  <cols>
    <col min="2" max="2" width="18.83203125" bestFit="1" customWidth="1"/>
    <col min="3" max="3" width="22.6640625" bestFit="1" customWidth="1"/>
    <col min="4" max="4" width="25.1640625" customWidth="1"/>
    <col min="5" max="6" width="22.1640625" bestFit="1" customWidth="1"/>
  </cols>
  <sheetData>
    <row r="3" spans="2:9">
      <c r="B3" s="2"/>
      <c r="C3" s="9" t="s">
        <v>0</v>
      </c>
      <c r="D3" s="9" t="s">
        <v>1</v>
      </c>
      <c r="E3" s="9" t="s">
        <v>2</v>
      </c>
      <c r="F3" s="2" t="s">
        <v>3</v>
      </c>
      <c r="I3" s="7"/>
    </row>
    <row r="4" spans="2:9">
      <c r="B4" s="2" t="s">
        <v>4</v>
      </c>
      <c r="C4" s="2" t="s">
        <v>7</v>
      </c>
      <c r="D4" s="2" t="s">
        <v>7</v>
      </c>
      <c r="E4" s="2" t="s">
        <v>7</v>
      </c>
      <c r="F4" s="2" t="s">
        <v>7</v>
      </c>
    </row>
    <row r="5" spans="2:9">
      <c r="B5" s="2" t="s">
        <v>9</v>
      </c>
      <c r="C5" s="2">
        <v>573</v>
      </c>
      <c r="D5" s="2">
        <v>573</v>
      </c>
      <c r="E5" s="2">
        <v>573</v>
      </c>
      <c r="F5" s="2">
        <v>573</v>
      </c>
    </row>
    <row r="6" spans="2:9">
      <c r="B6" s="2" t="s">
        <v>13</v>
      </c>
      <c r="C6" s="4">
        <v>880.44</v>
      </c>
      <c r="D6" s="4">
        <v>0</v>
      </c>
      <c r="E6" s="4">
        <v>1067.78</v>
      </c>
      <c r="F6" s="4">
        <v>188.31</v>
      </c>
    </row>
    <row r="7" spans="2:9">
      <c r="B7" s="2" t="s">
        <v>14</v>
      </c>
      <c r="C7" s="4">
        <v>1391.23</v>
      </c>
      <c r="D7" s="4">
        <v>2375.0100000000002</v>
      </c>
      <c r="E7" s="4">
        <v>1122.29</v>
      </c>
      <c r="F7" s="4">
        <v>2495.61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72E8-6AF5-492D-BBFC-24091BE1DBA6}">
  <dimension ref="A1:E13"/>
  <sheetViews>
    <sheetView workbookViewId="0">
      <selection activeCell="H22" sqref="H22"/>
    </sheetView>
  </sheetViews>
  <sheetFormatPr baseColWidth="10" defaultColWidth="8.83203125" defaultRowHeight="15"/>
  <cols>
    <col min="1" max="1" width="29.5" customWidth="1"/>
    <col min="2" max="2" width="22.83203125" bestFit="1" customWidth="1"/>
    <col min="3" max="3" width="22.5" bestFit="1" customWidth="1"/>
    <col min="4" max="4" width="22.1640625" bestFit="1" customWidth="1"/>
    <col min="5" max="5" width="22.33203125" bestFit="1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48</v>
      </c>
      <c r="B2">
        <v>361</v>
      </c>
      <c r="C2">
        <v>436</v>
      </c>
      <c r="D2">
        <v>465</v>
      </c>
      <c r="E2">
        <v>560</v>
      </c>
    </row>
    <row r="9" spans="1:5">
      <c r="A9" s="2"/>
      <c r="B9" s="2" t="s">
        <v>48</v>
      </c>
    </row>
    <row r="10" spans="1:5">
      <c r="A10" s="2" t="s">
        <v>49</v>
      </c>
      <c r="B10" s="2">
        <v>361</v>
      </c>
    </row>
    <row r="11" spans="1:5">
      <c r="A11" s="2" t="s">
        <v>50</v>
      </c>
      <c r="B11" s="2">
        <v>436</v>
      </c>
    </row>
    <row r="12" spans="1:5">
      <c r="A12" s="2" t="s">
        <v>51</v>
      </c>
      <c r="B12" s="2">
        <v>465</v>
      </c>
    </row>
    <row r="13" spans="1:5">
      <c r="A13" s="2" t="s">
        <v>52</v>
      </c>
      <c r="B13" s="2">
        <v>560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9EB7-7A76-4FD7-8D7C-B4FBD2BBFCAA}">
  <dimension ref="A1:E11"/>
  <sheetViews>
    <sheetView workbookViewId="0">
      <selection sqref="A1:E11"/>
    </sheetView>
  </sheetViews>
  <sheetFormatPr baseColWidth="10" defaultColWidth="8.83203125" defaultRowHeight="15"/>
  <cols>
    <col min="1" max="1" width="26.83203125" customWidth="1"/>
    <col min="2" max="2" width="22.6640625" bestFit="1" customWidth="1"/>
    <col min="3" max="3" width="22.5" bestFit="1" customWidth="1"/>
    <col min="4" max="5" width="22.1640625" bestFit="1" customWidth="1"/>
  </cols>
  <sheetData>
    <row r="1" spans="1:5">
      <c r="B1" s="20" t="s">
        <v>0</v>
      </c>
      <c r="C1" s="20" t="s">
        <v>1</v>
      </c>
      <c r="D1" s="20" t="s">
        <v>2</v>
      </c>
      <c r="E1" s="20" t="s">
        <v>3</v>
      </c>
    </row>
    <row r="2" spans="1:5" hidden="1">
      <c r="A2" t="s">
        <v>16</v>
      </c>
      <c r="B2">
        <v>5210.7999999999993</v>
      </c>
      <c r="C2">
        <v>5107.9799999999996</v>
      </c>
      <c r="D2">
        <v>4638.6899999999996</v>
      </c>
      <c r="E2">
        <v>5797.7330000000002</v>
      </c>
    </row>
    <row r="3" spans="1:5" hidden="1">
      <c r="A3" t="s">
        <v>54</v>
      </c>
      <c r="B3" s="17">
        <v>0.28786366776694561</v>
      </c>
      <c r="C3" s="17">
        <v>0.28935117208759625</v>
      </c>
      <c r="D3" s="17">
        <v>0.30073145651035099</v>
      </c>
      <c r="E3" s="17">
        <v>0.31650301936981223</v>
      </c>
    </row>
    <row r="4" spans="1:5" hidden="1">
      <c r="A4" t="s">
        <v>17</v>
      </c>
      <c r="B4" s="17">
        <v>0.72787096031319576</v>
      </c>
      <c r="C4" s="17">
        <v>0.72826635969600528</v>
      </c>
      <c r="D4" s="17">
        <v>0.71823726095082885</v>
      </c>
      <c r="E4" s="17">
        <v>0.7027315676661896</v>
      </c>
    </row>
    <row r="5" spans="1:5" hidden="1">
      <c r="A5" t="s">
        <v>55</v>
      </c>
      <c r="B5" s="17">
        <v>0.59</v>
      </c>
      <c r="C5" s="17">
        <v>0.58099999999999996</v>
      </c>
      <c r="D5" s="17">
        <v>0.49</v>
      </c>
      <c r="E5" s="17">
        <v>0.42499999999999999</v>
      </c>
    </row>
    <row r="6" spans="1:5" hidden="1">
      <c r="A6" t="s">
        <v>56</v>
      </c>
      <c r="B6">
        <v>361</v>
      </c>
      <c r="C6">
        <v>436</v>
      </c>
      <c r="D6">
        <v>465</v>
      </c>
      <c r="E6">
        <v>560</v>
      </c>
    </row>
    <row r="7" spans="1:5" hidden="1">
      <c r="A7" t="s">
        <v>57</v>
      </c>
      <c r="B7" s="19">
        <v>1</v>
      </c>
      <c r="C7" s="18">
        <v>0.99970000000000003</v>
      </c>
      <c r="D7" s="19">
        <v>0.99966999999999995</v>
      </c>
      <c r="E7" s="21">
        <v>0.999996</v>
      </c>
    </row>
    <row r="8" spans="1:5" hidden="1"/>
    <row r="9" spans="1:5" hidden="1"/>
    <row r="10" spans="1:5" hidden="1"/>
    <row r="11" spans="1:5">
      <c r="A11" t="s">
        <v>59</v>
      </c>
      <c r="B11" s="28">
        <v>1.2611867040547262</v>
      </c>
      <c r="C11" s="28">
        <v>1.2063107102706936</v>
      </c>
      <c r="D11" s="28">
        <v>1.3081773641938388</v>
      </c>
      <c r="E11" s="28">
        <v>1.0674684789412501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F748-F729-4508-992C-07737C516135}">
  <dimension ref="B2:G9"/>
  <sheetViews>
    <sheetView workbookViewId="0">
      <selection activeCell="B2" sqref="B2:G5"/>
    </sheetView>
  </sheetViews>
  <sheetFormatPr baseColWidth="10" defaultColWidth="8.83203125" defaultRowHeight="15"/>
  <cols>
    <col min="2" max="2" width="34.5" customWidth="1"/>
    <col min="3" max="3" width="11.5" customWidth="1"/>
    <col min="4" max="4" width="13.6640625" customWidth="1"/>
    <col min="5" max="5" width="10.5" customWidth="1"/>
    <col min="6" max="6" width="12.1640625" customWidth="1"/>
    <col min="7" max="7" width="8.83203125" customWidth="1"/>
  </cols>
  <sheetData>
    <row r="2" spans="2:7" ht="48">
      <c r="B2" s="9" t="s">
        <v>68</v>
      </c>
      <c r="C2" s="31" t="s">
        <v>67</v>
      </c>
      <c r="D2" s="31" t="s">
        <v>66</v>
      </c>
      <c r="E2" s="31" t="s">
        <v>65</v>
      </c>
      <c r="F2" s="31" t="s">
        <v>64</v>
      </c>
      <c r="G2" s="31" t="s">
        <v>62</v>
      </c>
    </row>
    <row r="3" spans="2:7">
      <c r="B3" s="32" t="s">
        <v>60</v>
      </c>
      <c r="C3" s="33">
        <v>66.387000525803884</v>
      </c>
      <c r="D3" s="33">
        <v>60.219026200155724</v>
      </c>
      <c r="E3" s="33">
        <v>69.972791897173295</v>
      </c>
      <c r="F3" s="33">
        <v>71.424095059096572</v>
      </c>
      <c r="G3" s="34">
        <v>79.491623586485616</v>
      </c>
    </row>
    <row r="4" spans="2:7">
      <c r="B4" s="32" t="s">
        <v>61</v>
      </c>
      <c r="C4" s="33">
        <v>69.442578533402681</v>
      </c>
      <c r="D4" s="33">
        <v>66.884620228531332</v>
      </c>
      <c r="E4" s="33">
        <v>70.692012960661899</v>
      </c>
      <c r="F4" s="33">
        <v>74.467629586132702</v>
      </c>
      <c r="G4" s="34">
        <v>79.491623586485616</v>
      </c>
    </row>
    <row r="5" spans="2:7">
      <c r="B5" s="32" t="s">
        <v>63</v>
      </c>
      <c r="C5" s="33">
        <v>92.590104711203566</v>
      </c>
      <c r="D5" s="33">
        <v>89.179493638041777</v>
      </c>
      <c r="E5" s="33">
        <v>94.256017280882531</v>
      </c>
      <c r="F5" s="33">
        <v>99.290172781510265</v>
      </c>
      <c r="G5" s="34">
        <f>4/3*G4</f>
        <v>105.98883144864749</v>
      </c>
    </row>
    <row r="6" spans="2:7">
      <c r="C6" s="30"/>
      <c r="D6" s="29"/>
      <c r="E6" s="29"/>
      <c r="F6" s="29"/>
      <c r="G6" s="30"/>
    </row>
    <row r="9" spans="2:7">
      <c r="C9" s="28"/>
      <c r="D9" s="28"/>
      <c r="E9" s="28"/>
      <c r="F9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A97-1276-4567-B5AA-81927D18D90D}">
  <dimension ref="A1:Q25"/>
  <sheetViews>
    <sheetView zoomScale="125" workbookViewId="0">
      <selection activeCell="C34" sqref="C34"/>
    </sheetView>
  </sheetViews>
  <sheetFormatPr baseColWidth="10" defaultColWidth="8.83203125" defaultRowHeight="15"/>
  <cols>
    <col min="2" max="2" width="10.5" customWidth="1"/>
    <col min="3" max="3" width="19.33203125" customWidth="1"/>
    <col min="4" max="4" width="12.1640625" customWidth="1"/>
    <col min="5" max="5" width="13.5" customWidth="1"/>
    <col min="6" max="6" width="12.33203125" customWidth="1"/>
    <col min="7" max="7" width="11.1640625" customWidth="1"/>
    <col min="10" max="10" width="11.33203125" customWidth="1"/>
    <col min="11" max="11" width="12.6640625" customWidth="1"/>
    <col min="14" max="14" width="11.83203125" customWidth="1"/>
  </cols>
  <sheetData>
    <row r="1" spans="1:17">
      <c r="A1" s="1"/>
      <c r="B1" s="52" t="s">
        <v>0</v>
      </c>
      <c r="C1" s="52"/>
      <c r="D1" s="52"/>
      <c r="E1" s="52"/>
      <c r="F1" s="52" t="s">
        <v>1</v>
      </c>
      <c r="G1" s="52"/>
      <c r="H1" s="52"/>
      <c r="I1" s="52"/>
      <c r="J1" s="52" t="s">
        <v>2</v>
      </c>
      <c r="K1" s="52"/>
      <c r="L1" s="52"/>
      <c r="M1" s="52"/>
      <c r="N1" s="62" t="s">
        <v>3</v>
      </c>
      <c r="O1" s="62"/>
      <c r="P1" s="62"/>
      <c r="Q1" s="62"/>
    </row>
    <row r="2" spans="1:17">
      <c r="B2" s="2" t="s">
        <v>34</v>
      </c>
      <c r="C2" s="2" t="s">
        <v>35</v>
      </c>
      <c r="D2" s="41" t="s">
        <v>33</v>
      </c>
      <c r="E2" s="42"/>
      <c r="F2" s="2" t="s">
        <v>34</v>
      </c>
      <c r="G2" s="2" t="s">
        <v>36</v>
      </c>
      <c r="H2" s="41" t="s">
        <v>33</v>
      </c>
      <c r="I2" s="42"/>
      <c r="J2" s="2" t="s">
        <v>32</v>
      </c>
      <c r="K2" s="2" t="s">
        <v>32</v>
      </c>
      <c r="L2" s="41" t="s">
        <v>33</v>
      </c>
      <c r="M2" s="42"/>
      <c r="N2" s="2" t="s">
        <v>32</v>
      </c>
      <c r="O2" s="2" t="s">
        <v>32</v>
      </c>
      <c r="P2" s="45" t="s">
        <v>33</v>
      </c>
      <c r="Q2" s="45"/>
    </row>
    <row r="3" spans="1:17">
      <c r="A3" t="s">
        <v>22</v>
      </c>
      <c r="B3" s="2">
        <v>12.1</v>
      </c>
      <c r="C3" s="2"/>
      <c r="D3" s="41"/>
      <c r="E3" s="42"/>
      <c r="F3" s="2">
        <v>139</v>
      </c>
      <c r="G3" s="2"/>
      <c r="H3" s="41"/>
      <c r="I3" s="42"/>
      <c r="J3" s="2"/>
      <c r="K3" s="2">
        <v>8.6</v>
      </c>
      <c r="L3" s="43"/>
      <c r="M3" s="44"/>
      <c r="N3" s="2">
        <v>1.04</v>
      </c>
      <c r="O3" s="4"/>
      <c r="P3" s="45"/>
      <c r="Q3" s="45"/>
    </row>
    <row r="4" spans="1:17">
      <c r="A4" s="6" t="s">
        <v>23</v>
      </c>
      <c r="B4" s="2">
        <v>5.78</v>
      </c>
      <c r="C4" s="2">
        <v>3335.35</v>
      </c>
      <c r="D4" s="43">
        <f>5.78/3335.35</f>
        <v>1.7329515643035964E-3</v>
      </c>
      <c r="E4" s="44"/>
      <c r="H4" s="41"/>
      <c r="I4" s="42"/>
      <c r="J4" s="2">
        <v>3634.5</v>
      </c>
      <c r="K4" s="2">
        <v>4.62</v>
      </c>
      <c r="L4" s="43">
        <f>K4/J4</f>
        <v>1.2711514651258771E-3</v>
      </c>
      <c r="M4" s="44"/>
      <c r="N4" s="2">
        <v>0.5</v>
      </c>
      <c r="O4" s="4">
        <v>474.95</v>
      </c>
      <c r="P4" s="46">
        <f>N4/O4</f>
        <v>1.0527423939362039E-3</v>
      </c>
      <c r="Q4" s="46"/>
    </row>
    <row r="5" spans="1:17">
      <c r="A5" s="6" t="s">
        <v>24</v>
      </c>
      <c r="B5" s="2">
        <v>6.32</v>
      </c>
      <c r="C5" s="2">
        <v>3284.31</v>
      </c>
      <c r="D5" s="43">
        <f>6.32/3284.31</f>
        <v>1.9243006902515294E-3</v>
      </c>
      <c r="E5" s="44"/>
      <c r="F5" s="2">
        <v>139</v>
      </c>
      <c r="G5" s="2">
        <v>6153</v>
      </c>
      <c r="H5" s="50">
        <f>F5/G5</f>
        <v>2.2590606208353649E-2</v>
      </c>
      <c r="I5" s="51"/>
      <c r="J5" s="2">
        <v>1800</v>
      </c>
      <c r="K5" s="2">
        <v>3.98</v>
      </c>
      <c r="L5" s="43">
        <f>K5/J5</f>
        <v>2.2111111111111112E-3</v>
      </c>
      <c r="M5" s="44"/>
      <c r="N5" s="2">
        <v>0.6</v>
      </c>
      <c r="O5" s="4">
        <v>3878.12</v>
      </c>
      <c r="P5" s="46">
        <f>N5/O5</f>
        <v>1.5471413984095386E-4</v>
      </c>
      <c r="Q5" s="46"/>
    </row>
    <row r="13" spans="1:17">
      <c r="B13" s="59"/>
      <c r="C13" s="61"/>
      <c r="D13" s="27" t="s">
        <v>23</v>
      </c>
      <c r="E13" s="27" t="s">
        <v>24</v>
      </c>
    </row>
    <row r="14" spans="1:17">
      <c r="B14" s="63" t="s">
        <v>49</v>
      </c>
      <c r="C14" s="2" t="s">
        <v>34</v>
      </c>
      <c r="D14" s="2">
        <v>5.78</v>
      </c>
      <c r="E14" s="2">
        <v>6.32</v>
      </c>
    </row>
    <row r="15" spans="1:17">
      <c r="B15" s="63"/>
      <c r="C15" s="2" t="s">
        <v>35</v>
      </c>
      <c r="D15" s="2">
        <v>3335.35</v>
      </c>
      <c r="E15" s="2">
        <v>3284.31</v>
      </c>
    </row>
    <row r="16" spans="1:17">
      <c r="B16" s="63"/>
      <c r="C16" s="2" t="s">
        <v>58</v>
      </c>
      <c r="D16" s="25">
        <f>5.78/3335.35</f>
        <v>1.7329515643035964E-3</v>
      </c>
      <c r="E16" s="25">
        <f>6.32/3284.31</f>
        <v>1.9243006902515294E-3</v>
      </c>
    </row>
    <row r="17" spans="2:5">
      <c r="B17" s="63" t="s">
        <v>50</v>
      </c>
      <c r="C17" s="2" t="s">
        <v>34</v>
      </c>
      <c r="D17" s="2">
        <v>0</v>
      </c>
      <c r="E17" s="2">
        <v>139</v>
      </c>
    </row>
    <row r="18" spans="2:5">
      <c r="B18" s="63"/>
      <c r="C18" s="2" t="s">
        <v>35</v>
      </c>
      <c r="D18" s="2">
        <v>0</v>
      </c>
      <c r="E18" s="2">
        <v>6153</v>
      </c>
    </row>
    <row r="19" spans="2:5">
      <c r="B19" s="63"/>
      <c r="C19" s="2" t="s">
        <v>58</v>
      </c>
      <c r="D19" s="2"/>
      <c r="E19" s="26">
        <f>E17/E18</f>
        <v>2.2590606208353649E-2</v>
      </c>
    </row>
    <row r="20" spans="2:5">
      <c r="B20" s="63" t="s">
        <v>51</v>
      </c>
      <c r="C20" s="2" t="s">
        <v>34</v>
      </c>
      <c r="D20" s="2">
        <v>3634.5</v>
      </c>
      <c r="E20" s="2">
        <v>1800</v>
      </c>
    </row>
    <row r="21" spans="2:5">
      <c r="B21" s="63"/>
      <c r="C21" s="2" t="s">
        <v>35</v>
      </c>
      <c r="D21" s="2">
        <v>4.62</v>
      </c>
      <c r="E21" s="2">
        <v>3.98</v>
      </c>
    </row>
    <row r="22" spans="2:5">
      <c r="B22" s="63"/>
      <c r="C22" s="2" t="s">
        <v>58</v>
      </c>
      <c r="D22" s="25">
        <f>D21/D20</f>
        <v>1.2711514651258771E-3</v>
      </c>
      <c r="E22" s="25">
        <f>E21/E20</f>
        <v>2.2111111111111112E-3</v>
      </c>
    </row>
    <row r="23" spans="2:5">
      <c r="B23" s="63" t="s">
        <v>52</v>
      </c>
      <c r="C23" s="2" t="s">
        <v>34</v>
      </c>
      <c r="D23" s="2">
        <v>0.5</v>
      </c>
      <c r="E23" s="2">
        <v>0.6</v>
      </c>
    </row>
    <row r="24" spans="2:5">
      <c r="B24" s="63"/>
      <c r="C24" s="2" t="s">
        <v>35</v>
      </c>
      <c r="D24" s="4">
        <v>474.95</v>
      </c>
      <c r="E24" s="4">
        <v>3878.12</v>
      </c>
    </row>
    <row r="25" spans="2:5">
      <c r="B25" s="63"/>
      <c r="C25" s="2" t="s">
        <v>58</v>
      </c>
      <c r="D25" s="25">
        <f>D23/D24</f>
        <v>1.0527423939362039E-3</v>
      </c>
      <c r="E25" s="25">
        <f>E23/E24</f>
        <v>1.5471413984095386E-4</v>
      </c>
    </row>
  </sheetData>
  <mergeCells count="25">
    <mergeCell ref="B13:C13"/>
    <mergeCell ref="B20:B22"/>
    <mergeCell ref="B23:B25"/>
    <mergeCell ref="B14:B16"/>
    <mergeCell ref="B17:B19"/>
    <mergeCell ref="B1:E1"/>
    <mergeCell ref="F1:I1"/>
    <mergeCell ref="J1:M1"/>
    <mergeCell ref="N1:Q1"/>
    <mergeCell ref="D4:E4"/>
    <mergeCell ref="H4:I4"/>
    <mergeCell ref="L4:M4"/>
    <mergeCell ref="P4:Q4"/>
    <mergeCell ref="D5:E5"/>
    <mergeCell ref="H5:I5"/>
    <mergeCell ref="L5:M5"/>
    <mergeCell ref="P5:Q5"/>
    <mergeCell ref="D2:E2"/>
    <mergeCell ref="H2:I2"/>
    <mergeCell ref="L2:M2"/>
    <mergeCell ref="P2:Q2"/>
    <mergeCell ref="D3:E3"/>
    <mergeCell ref="H3:I3"/>
    <mergeCell ref="L3:M3"/>
    <mergeCell ref="P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</vt:lpstr>
      <vt:lpstr>Sheet6</vt:lpstr>
      <vt:lpstr>Sheet3</vt:lpstr>
      <vt:lpstr>Sheet1</vt:lpstr>
      <vt:lpstr>Sheet2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Rekha (GE Vernova)</dc:creator>
  <cp:lastModifiedBy>Abi-Rached, Habib (GE Vernova)</cp:lastModifiedBy>
  <dcterms:created xsi:type="dcterms:W3CDTF">2026-06-04T03:48:42Z</dcterms:created>
  <dcterms:modified xsi:type="dcterms:W3CDTF">2026-09-05T15:02:37Z</dcterms:modified>
</cp:coreProperties>
</file>