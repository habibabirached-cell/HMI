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0021483/Documents/code2/DataCenterSmartPower/dcs-backend/configuratorData/data/"/>
    </mc:Choice>
  </mc:AlternateContent>
  <xr:revisionPtr revIDLastSave="0" documentId="8_{7F81D3B4-44C5-D445-ABC3-D835352A4FEF}" xr6:coauthVersionLast="47" xr6:coauthVersionMax="47" xr10:uidLastSave="{00000000-0000-0000-0000-000000000000}"/>
  <bookViews>
    <workbookView xWindow="1860" yWindow="780" windowWidth="31320" windowHeight="24160" activeTab="1" xr2:uid="{6624E2B5-A7DF-3D41-A224-F944DFB924E9}"/>
  </bookViews>
  <sheets>
    <sheet name="Sheet1" sheetId="1" r:id="rId1"/>
    <sheet name="Sheet2" sheetId="4" r:id="rId2"/>
    <sheet name="gas source" sheetId="3" r:id="rId3"/>
    <sheet name="Locatio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0" i="4" l="1"/>
  <c r="L20" i="4"/>
  <c r="K20" i="4"/>
  <c r="J20" i="4"/>
  <c r="C49" i="4"/>
  <c r="C48" i="4"/>
  <c r="I66" i="4"/>
  <c r="I65" i="4"/>
  <c r="I64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36" i="4"/>
  <c r="I34" i="4"/>
  <c r="I22" i="4"/>
  <c r="H65" i="4"/>
  <c r="H62" i="4" l="1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G65" i="4" l="1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F65" i="4" l="1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E65" i="4"/>
  <c r="E62" i="4" l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C65" i="4" l="1"/>
  <c r="D65" i="4"/>
  <c r="D62" i="4"/>
  <c r="D61" i="4"/>
  <c r="D60" i="4"/>
  <c r="C59" i="4"/>
  <c r="D59" i="4"/>
  <c r="D58" i="4"/>
  <c r="D57" i="4"/>
  <c r="D56" i="4"/>
  <c r="D55" i="4"/>
  <c r="D54" i="4"/>
  <c r="D53" i="4"/>
  <c r="D52" i="4"/>
  <c r="D51" i="4"/>
  <c r="D50" i="4"/>
  <c r="D49" i="4"/>
  <c r="D48" i="4"/>
  <c r="C62" i="4" l="1"/>
  <c r="C61" i="4"/>
  <c r="C60" i="4"/>
  <c r="C58" i="4"/>
  <c r="C57" i="4"/>
  <c r="C56" i="4"/>
  <c r="C55" i="4"/>
  <c r="C54" i="4"/>
  <c r="C53" i="4"/>
  <c r="C52" i="4"/>
  <c r="C51" i="4"/>
  <c r="C5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Abi-Rached, Habib (GE Vernova)</author>
  </authors>
  <commentList>
    <comment ref="B20" authorId="0" shapeId="0" xr:uid="{1DBA574E-8A2D-6B4B-A70A-11B5D5AA3785}">
      <text>
        <r>
          <rPr>
            <b/>
            <sz val="10"/>
            <color rgb="FF000000"/>
            <rFont val="Tahoma"/>
            <family val="2"/>
          </rPr>
          <t>Abi-Rached, Habib (GE Vernova):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is this utilisation? or #unit * MW?</t>
        </r>
      </text>
    </comment>
  </commentList>
</comments>
</file>

<file path=xl/sharedStrings.xml><?xml version="1.0" encoding="utf-8"?>
<sst xmlns="http://schemas.openxmlformats.org/spreadsheetml/2006/main" count="158" uniqueCount="132">
  <si>
    <t>Availability</t>
  </si>
  <si>
    <t>Peak Load</t>
  </si>
  <si>
    <t>CFE</t>
  </si>
  <si>
    <t>Location</t>
  </si>
  <si>
    <t>Solar Capacity</t>
  </si>
  <si>
    <t>Bess Capacity</t>
  </si>
  <si>
    <t>Wind Capacity</t>
  </si>
  <si>
    <t>High Solar  - High Wind</t>
  </si>
  <si>
    <t>High Solar - Low Wind</t>
  </si>
  <si>
    <t>Low Solar - High Wind</t>
  </si>
  <si>
    <t>Low Solar - Lower Wind</t>
  </si>
  <si>
    <t>High Solar Low Wind</t>
  </si>
  <si>
    <t xml:space="preserve">HD - 7F.05 - combined cycle </t>
  </si>
  <si>
    <t>HD - 7HA.02 -  - combined cycle</t>
  </si>
  <si>
    <t>LM2500+G4  - combined cycle</t>
  </si>
  <si>
    <t>LM25200 22MW  - combined cycle</t>
  </si>
  <si>
    <t>HD - 7F.05   - simple cycle</t>
  </si>
  <si>
    <t>HD - 7HA.02 - simple cycle</t>
  </si>
  <si>
    <t>LM2500+G4  - simple cycle</t>
  </si>
  <si>
    <t>LM25200 22MW - simple cycle</t>
  </si>
  <si>
    <t>HD - 7F.05 - simple cycle #Units</t>
  </si>
  <si>
    <t>HD - 7HA.02 - simple cycle #Units</t>
  </si>
  <si>
    <t>LM2500+G4  - simple cycle #Units</t>
  </si>
  <si>
    <t>LM25200 22MW - simple cycle #Units</t>
  </si>
  <si>
    <t xml:space="preserve">HD - 7F.05 - combined cycle #Units </t>
  </si>
  <si>
    <t>HD - 7HA.02 -  - combined cycle #Units</t>
  </si>
  <si>
    <t>LM2500+G4  - combined cycle #Units</t>
  </si>
  <si>
    <t>LM25200 22MW  - combined cycle #Units</t>
  </si>
  <si>
    <t>Solar Utilisation</t>
  </si>
  <si>
    <t xml:space="preserve">Installed Capacity </t>
  </si>
  <si>
    <t>Availlability</t>
  </si>
  <si>
    <t>LCOE</t>
  </si>
  <si>
    <t xml:space="preserve">Carbon Intensity </t>
  </si>
  <si>
    <t>Solar Curtainlment</t>
  </si>
  <si>
    <t>Wind Curtailment</t>
  </si>
  <si>
    <t>Bess Utilisation</t>
  </si>
  <si>
    <t>Wind Utilisation</t>
  </si>
  <si>
    <t>HD - 7F.05 - simple cycle Utilisation</t>
  </si>
  <si>
    <t>HD - 7HA.02 - simple cycle Utilisation</t>
  </si>
  <si>
    <t>LM2500+G4  - simple cycle Utilisation</t>
  </si>
  <si>
    <t>LM25200 22MW - simple cycle Utilisation</t>
  </si>
  <si>
    <t xml:space="preserve">HD - 7F.05 - combined cycle Utilisation </t>
  </si>
  <si>
    <t>HD - 7HA.02 -  - combined cycle Utilisation</t>
  </si>
  <si>
    <t>LM2500+G4  - combined cycle Utilisation</t>
  </si>
  <si>
    <t>LM25200 22MW  - combined cycle Utilisation</t>
  </si>
  <si>
    <t>Please populate these with the the state, or parts of the world, such as TX, TN, CA, …. All 52 states</t>
  </si>
  <si>
    <t>LM 2500 simple cycle</t>
  </si>
  <si>
    <t>Note this unit was unit used in Google Study</t>
  </si>
  <si>
    <t>Not sure what is meant by LM2500 + G4?</t>
  </si>
  <si>
    <t>Not sure what is meant by LM2500 22 MW?</t>
  </si>
  <si>
    <t>Small GT 35 MW simple cycle</t>
  </si>
  <si>
    <t>Small GT 16 MW simple cycle</t>
  </si>
  <si>
    <t>HD - 7F.05 - simple cycle (#Units)</t>
  </si>
  <si>
    <t>HD - 7HA.02 - simple cycle (#Units)</t>
  </si>
  <si>
    <t>LM2500+G4  - simple cycle (#Units)</t>
  </si>
  <si>
    <t>LM25200 22MW - simple cycle (#Units)</t>
  </si>
  <si>
    <t>HD - 7F.05 - combined cycle (#Units)</t>
  </si>
  <si>
    <t>HD - 7HA.02 -  - combined cycle (#Units)</t>
  </si>
  <si>
    <t>LM2500+G4  - combined cycle (#Units)</t>
  </si>
  <si>
    <t>LM25200 22MW  - combined cycle (#Units)</t>
  </si>
  <si>
    <t>Solar Utilisation (GWh)</t>
  </si>
  <si>
    <t>Bess Utilisation (GWh)</t>
  </si>
  <si>
    <t>Wind Utilisation (GWH)</t>
  </si>
  <si>
    <t>HD - 7F.05 - simple cycle Utilisation (GWh)</t>
  </si>
  <si>
    <t>HD - 7HA.02 - simple cycle Utilisation (GWh)</t>
  </si>
  <si>
    <t>LM2500+G4  - simple cycle Utilisation (GWh)</t>
  </si>
  <si>
    <t>LM25200 22MW - simple cycle Utilisation (GWh)</t>
  </si>
  <si>
    <t>HD - 7F.05 - combined cycle Utilisation  (GWh)</t>
  </si>
  <si>
    <t>HD - 7HA.02 -  - combined cycle Utilisation (GWh)</t>
  </si>
  <si>
    <t>LM2500+G4  - combined cycle Utilisation (GWh)</t>
  </si>
  <si>
    <t>LM25200 22MW  - combined cycle Utilisation (GWh)</t>
  </si>
  <si>
    <t>CT_35MW Utilization (GWh)</t>
  </si>
  <si>
    <t>CT_16MW Utilization (GWh)</t>
  </si>
  <si>
    <t>Bess Capacity Factor (%)</t>
  </si>
  <si>
    <t>Wind Capacity Factor (%)</t>
  </si>
  <si>
    <t>HD - 7F.05 - simple cycle Capacity Factor (%)</t>
  </si>
  <si>
    <t>HD - 7HA.02 - simple cycle Capacity Factor (%)</t>
  </si>
  <si>
    <t>LM2500+G4  - simple cycle Capacity Factor (%)</t>
  </si>
  <si>
    <t>LM25200 22MW - simple cycle Capacity Factor (%)</t>
  </si>
  <si>
    <t>HD - 7HA.02 -  - combined cycle Capacity Factor (%)</t>
  </si>
  <si>
    <t>LM2500+G4  - combined cycle Capacity Factor (%)</t>
  </si>
  <si>
    <t>LM25200 22MW  - combined cycle Capacity Factor (%)</t>
  </si>
  <si>
    <t>Solar Capacity Factor (%)</t>
  </si>
  <si>
    <t>HD - 7F.05 - combined cycle Capacity Factor (%)</t>
  </si>
  <si>
    <t>CT_35MW Capacity Factor (%)</t>
  </si>
  <si>
    <t>CT_16MW Capacity Factor (%)</t>
  </si>
  <si>
    <t>Solar Capacity (#Units)</t>
  </si>
  <si>
    <t>Bess Capacity (#Units)</t>
  </si>
  <si>
    <t>Wind Capacity (#Units</t>
  </si>
  <si>
    <t>Wind Capacity Capacity Built (MW)</t>
  </si>
  <si>
    <t>Bess Capacity Capacity Built (MW)</t>
  </si>
  <si>
    <t>Solar Capacity Capacity Built (MW)</t>
  </si>
  <si>
    <t>HD - 7F.05 - simple cycle Capacity Built (MW)</t>
  </si>
  <si>
    <t>HD - 7HA.02 - simple cycle Capacity Built (MW)</t>
  </si>
  <si>
    <t>LM2500+G4  - simple cycle Capacity Built (MW)</t>
  </si>
  <si>
    <t>LM25200 22MW - simple cycle Capacity Built (MW)</t>
  </si>
  <si>
    <t>HD - 7F.05 - combined cycle Capacity Built (MW)</t>
  </si>
  <si>
    <t>HD - 7HA.02 -  - combined cycle Capacity Built (MW)</t>
  </si>
  <si>
    <t>LM2500+G4  - combined cycle Capacity Built (MW)</t>
  </si>
  <si>
    <t>LM25200 22MW  - combined cycle Capacity Built (MW)</t>
  </si>
  <si>
    <t>CT_35MW Capacity Built (MW)</t>
  </si>
  <si>
    <t>CT_16MW Capacity Built (MW)</t>
  </si>
  <si>
    <t>High Solar High Wind</t>
  </si>
  <si>
    <t>Availlability (%)</t>
  </si>
  <si>
    <t>Installed Capacity (MW)</t>
  </si>
  <si>
    <t>LCOE ($/MWh)</t>
  </si>
  <si>
    <t>CFE (%)</t>
  </si>
  <si>
    <t>Solar Curtainlment (GWh)</t>
  </si>
  <si>
    <t>Wind Curtailment (GWh)</t>
  </si>
  <si>
    <t>Carbon Intensity  lb/MWh</t>
  </si>
  <si>
    <t>Interntal Combustion (#Units)</t>
  </si>
  <si>
    <t>Internal Combustion Capacity Built (MW)</t>
  </si>
  <si>
    <t>Internal Combustion Utilization (GWh)</t>
  </si>
  <si>
    <t>Internal Combustion Capacity Factor (%)</t>
  </si>
  <si>
    <t>Low Solar High Wind</t>
  </si>
  <si>
    <t>CC—single-shaft</t>
  </si>
  <si>
    <t>CT—industrial frame</t>
  </si>
  <si>
    <t>CT_16MW</t>
  </si>
  <si>
    <t>IC</t>
  </si>
  <si>
    <t>Low Solar Low Wind</t>
  </si>
  <si>
    <t>Was not included in study</t>
  </si>
  <si>
    <t>LM 6000 simple cycle</t>
  </si>
  <si>
    <t>You can imply this model is an LM2500 simple cycle but it was not selected in our studies</t>
  </si>
  <si>
    <t>Internal Combustion (IC)</t>
  </si>
  <si>
    <t>TX</t>
  </si>
  <si>
    <t>AZ</t>
  </si>
  <si>
    <t>ID</t>
  </si>
  <si>
    <t>PA</t>
  </si>
  <si>
    <t>Only possible to include the 4 sites we considered in the study</t>
  </si>
  <si>
    <t>CT_35MW (#Units) - comparable LM2500</t>
  </si>
  <si>
    <t xml:space="preserve">CT_16MW (#Units) - no comparable in GE fleet. - </t>
  </si>
  <si>
    <t>Bess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</si>
</sst>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00%"/>
    <numFmt numFmtId="166" formatCode="0.0000%"/>
    <numFmt numFmtId="167" formatCode="_##0.00%;_(* \(\ ##0.00%\);_(* &quot;-&quot;??_);_(@_)"/>
    <numFmt numFmtId="168" formatCode="_(* #,##0.0_);_(* \(#,##0.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0" fillId="0" borderId="0" xfId="0" quotePrefix="1" applyAlignment="1">
      <alignment horizontal="left"/>
    </xf>
    <xf numFmtId="43" fontId="0" fillId="0" borderId="0" xfId="1" applyFont="1"/>
    <xf numFmtId="43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7" fontId="0" fillId="0" borderId="0" xfId="2" applyNumberFormat="1" applyFont="1"/>
    <xf numFmtId="0" fontId="0" fillId="0" borderId="0" xfId="0" quotePrefix="1" applyAlignment="1">
      <alignment horizontal="left" wrapText="1"/>
    </xf>
    <xf numFmtId="0" fontId="0" fillId="0" borderId="0" xfId="0" applyAlignment="1">
      <alignment wrapText="1"/>
    </xf>
    <xf numFmtId="168" fontId="0" fillId="0" borderId="0" xfId="1" applyNumberFormat="1" applyFont="1"/>
    <xf numFmtId="164" fontId="0" fillId="0" borderId="0" xfId="2" applyNumberFormat="1" applyFont="1"/>
    <xf numFmtId="9" fontId="0" fillId="0" borderId="0" xfId="0" applyNumberFormat="1"/>
    <xf numFmtId="0" fontId="2" fillId="0" borderId="0" xfId="0" applyFont="1"/>
    <xf numFmtId="0" fontId="0" fillId="2" borderId="0" xfId="0" quotePrefix="1" applyFill="1" applyAlignment="1">
      <alignment horizontal="left"/>
    </xf>
    <xf numFmtId="43" fontId="5" fillId="0" borderId="0" xfId="1" applyFont="1"/>
    <xf numFmtId="0" fontId="0" fillId="3" borderId="0" xfId="0" quotePrefix="1" applyFill="1" applyAlignment="1">
      <alignment horizontal="left"/>
    </xf>
    <xf numFmtId="43" fontId="0" fillId="3" borderId="0" xfId="1" applyFont="1" applyFill="1"/>
    <xf numFmtId="0" fontId="0" fillId="3" borderId="0" xfId="0" applyFill="1"/>
    <xf numFmtId="0" fontId="0" fillId="4" borderId="0" xfId="0" applyFill="1"/>
    <xf numFmtId="0" fontId="0" fillId="4" borderId="0" xfId="0" quotePrefix="1" applyFill="1" applyAlignment="1">
      <alignment horizontal="left"/>
    </xf>
    <xf numFmtId="43" fontId="0" fillId="4" borderId="0" xfId="1" applyFont="1" applyFill="1"/>
    <xf numFmtId="0" fontId="0" fillId="5" borderId="0" xfId="0" applyFill="1"/>
    <xf numFmtId="0" fontId="0" fillId="5" borderId="0" xfId="0" quotePrefix="1" applyFill="1" applyAlignment="1">
      <alignment horizontal="left"/>
    </xf>
    <xf numFmtId="43" fontId="0" fillId="5" borderId="0" xfId="1" applyFont="1" applyFill="1"/>
    <xf numFmtId="0" fontId="0" fillId="0" borderId="0" xfId="0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FF8C-F2A5-0C47-B55F-BBD7A6463A17}">
  <dimension ref="A1:AH3"/>
  <sheetViews>
    <sheetView zoomScale="110" zoomScaleNormal="110" workbookViewId="0">
      <selection sqref="A1:AH3"/>
    </sheetView>
  </sheetViews>
  <sheetFormatPr baseColWidth="10" defaultColWidth="11" defaultRowHeight="16" x14ac:dyDescent="0.2"/>
  <cols>
    <col min="1" max="1" width="10" bestFit="1" customWidth="1"/>
    <col min="2" max="2" width="9.1640625" bestFit="1" customWidth="1"/>
    <col min="3" max="3" width="4.5" bestFit="1" customWidth="1"/>
    <col min="4" max="4" width="17.5" bestFit="1" customWidth="1"/>
    <col min="5" max="5" width="3" style="1" customWidth="1"/>
    <col min="6" max="6" width="13" bestFit="1" customWidth="1"/>
    <col min="7" max="7" width="12.6640625" bestFit="1" customWidth="1"/>
    <col min="8" max="8" width="13" bestFit="1" customWidth="1"/>
    <col min="9" max="9" width="27" bestFit="1" customWidth="1"/>
    <col min="10" max="10" width="28.33203125" bestFit="1" customWidth="1"/>
    <col min="11" max="11" width="28.5" bestFit="1" customWidth="1"/>
    <col min="12" max="12" width="31.33203125" bestFit="1" customWidth="1"/>
    <col min="13" max="13" width="30" bestFit="1" customWidth="1"/>
    <col min="14" max="14" width="32.5" bestFit="1" customWidth="1"/>
    <col min="15" max="15" width="31.1640625" bestFit="1" customWidth="1"/>
    <col min="16" max="16" width="34.5" bestFit="1" customWidth="1"/>
    <col min="17" max="17" width="14" bestFit="1" customWidth="1"/>
    <col min="18" max="18" width="12.6640625" bestFit="1" customWidth="1"/>
    <col min="19" max="19" width="13" bestFit="1" customWidth="1"/>
    <col min="20" max="20" width="30.1640625" bestFit="1" customWidth="1"/>
    <col min="21" max="21" width="31.5" bestFit="1" customWidth="1"/>
    <col min="22" max="22" width="31.83203125" bestFit="1" customWidth="1"/>
    <col min="23" max="23" width="34.6640625" bestFit="1" customWidth="1"/>
    <col min="24" max="24" width="33.33203125" bestFit="1" customWidth="1"/>
    <col min="25" max="25" width="35.6640625" bestFit="1" customWidth="1"/>
    <col min="26" max="26" width="34.5" bestFit="1" customWidth="1"/>
    <col min="27" max="27" width="37.83203125" bestFit="1" customWidth="1"/>
    <col min="28" max="28" width="16.33203125" bestFit="1" customWidth="1"/>
    <col min="32" max="32" width="14.83203125" bestFit="1" customWidth="1"/>
    <col min="33" max="33" width="16.6640625" bestFit="1" customWidth="1"/>
    <col min="34" max="34" width="15.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29</v>
      </c>
      <c r="AC1" t="s">
        <v>30</v>
      </c>
      <c r="AD1" t="s">
        <v>31</v>
      </c>
      <c r="AE1" t="s">
        <v>2</v>
      </c>
      <c r="AF1" t="s">
        <v>32</v>
      </c>
      <c r="AG1" t="s">
        <v>33</v>
      </c>
      <c r="AH1" t="s">
        <v>34</v>
      </c>
    </row>
    <row r="3" spans="1:34" x14ac:dyDescent="0.2">
      <c r="A3">
        <v>99.9923</v>
      </c>
      <c r="B3">
        <v>1000</v>
      </c>
      <c r="C3">
        <v>60</v>
      </c>
      <c r="D3" t="s">
        <v>11</v>
      </c>
      <c r="I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39A7-7FEC-4A17-BD31-336E2E7C9262}">
  <dimension ref="A1:M68"/>
  <sheetViews>
    <sheetView tabSelected="1" zoomScale="140" zoomScaleNormal="140" workbookViewId="0">
      <pane xSplit="2" ySplit="5" topLeftCell="C11" activePane="bottomRight" state="frozen"/>
      <selection pane="topRight" activeCell="B1" sqref="B1"/>
      <selection pane="bottomLeft" activeCell="A6" sqref="A6"/>
      <selection pane="bottomRight" activeCell="B33" sqref="B33"/>
    </sheetView>
  </sheetViews>
  <sheetFormatPr baseColWidth="10" defaultColWidth="8.83203125" defaultRowHeight="16" x14ac:dyDescent="0.2"/>
  <cols>
    <col min="1" max="1" width="19.83203125" customWidth="1"/>
    <col min="2" max="2" width="46.6640625" customWidth="1"/>
    <col min="3" max="10" width="11.6640625" customWidth="1"/>
  </cols>
  <sheetData>
    <row r="1" spans="1:10" x14ac:dyDescent="0.2">
      <c r="B1" t="s">
        <v>0</v>
      </c>
      <c r="C1" s="6">
        <v>0.99999000000000005</v>
      </c>
      <c r="D1" s="6">
        <v>0.99999000000000005</v>
      </c>
      <c r="E1" s="6">
        <v>0.99999000000000005</v>
      </c>
      <c r="F1" s="6">
        <v>0.99999000000000005</v>
      </c>
      <c r="G1" s="6">
        <v>0.99999000000000005</v>
      </c>
      <c r="H1" s="6">
        <v>0.99999000000000005</v>
      </c>
      <c r="I1" s="6">
        <v>0.99999000000000005</v>
      </c>
      <c r="J1" s="6">
        <v>0.99999000000000005</v>
      </c>
    </row>
    <row r="2" spans="1:10" x14ac:dyDescent="0.2">
      <c r="B2" t="s">
        <v>1</v>
      </c>
      <c r="C2">
        <v>1350</v>
      </c>
      <c r="D2">
        <v>1350</v>
      </c>
      <c r="E2">
        <v>1350</v>
      </c>
      <c r="F2">
        <v>1350</v>
      </c>
      <c r="G2">
        <v>1350</v>
      </c>
      <c r="H2">
        <v>1350</v>
      </c>
      <c r="I2">
        <v>1350</v>
      </c>
      <c r="J2">
        <v>1350</v>
      </c>
    </row>
    <row r="3" spans="1:10" x14ac:dyDescent="0.2">
      <c r="B3" t="s">
        <v>2</v>
      </c>
      <c r="C3" s="8">
        <v>0.69</v>
      </c>
      <c r="D3" s="5">
        <v>0.70799999999999996</v>
      </c>
      <c r="E3" s="13">
        <v>0.70466437821415207</v>
      </c>
      <c r="F3" s="13">
        <v>0.70094287014276924</v>
      </c>
      <c r="G3" s="13">
        <v>0.80414123420536765</v>
      </c>
      <c r="H3" s="13">
        <v>0.79652385004254456</v>
      </c>
      <c r="I3" s="14">
        <v>0.81182797206326418</v>
      </c>
    </row>
    <row r="4" spans="1:10" ht="34" x14ac:dyDescent="0.2">
      <c r="B4" t="s">
        <v>3</v>
      </c>
      <c r="C4" s="10" t="s">
        <v>102</v>
      </c>
      <c r="D4" s="11" t="s">
        <v>11</v>
      </c>
      <c r="E4" s="11" t="s">
        <v>114</v>
      </c>
      <c r="F4" s="11" t="s">
        <v>119</v>
      </c>
      <c r="G4" s="10" t="s">
        <v>102</v>
      </c>
      <c r="H4" s="11" t="s">
        <v>11</v>
      </c>
      <c r="I4" s="11" t="s">
        <v>114</v>
      </c>
      <c r="J4" s="11" t="s">
        <v>119</v>
      </c>
    </row>
    <row r="5" spans="1:10" x14ac:dyDescent="0.2">
      <c r="B5" s="1"/>
      <c r="C5" s="1"/>
    </row>
    <row r="6" spans="1:10" x14ac:dyDescent="0.2">
      <c r="B6" s="2" t="s">
        <v>86</v>
      </c>
      <c r="C6" s="3">
        <v>0.8</v>
      </c>
      <c r="D6" s="3">
        <v>1.3</v>
      </c>
      <c r="E6" s="3">
        <v>1.2</v>
      </c>
      <c r="F6" s="3">
        <v>1.8</v>
      </c>
      <c r="G6" s="3">
        <v>1.1000000000000001</v>
      </c>
      <c r="H6" s="3">
        <v>1.6</v>
      </c>
      <c r="I6" s="3">
        <v>1.6</v>
      </c>
    </row>
    <row r="7" spans="1:10" x14ac:dyDescent="0.2">
      <c r="B7" s="2" t="s">
        <v>87</v>
      </c>
      <c r="C7" s="3">
        <v>18</v>
      </c>
      <c r="D7" s="3">
        <v>22</v>
      </c>
      <c r="E7" s="3">
        <v>15.1</v>
      </c>
      <c r="F7" s="3">
        <v>25</v>
      </c>
      <c r="G7" s="3">
        <v>18.5</v>
      </c>
      <c r="H7" s="3">
        <v>60</v>
      </c>
      <c r="I7" s="3">
        <v>30</v>
      </c>
    </row>
    <row r="8" spans="1:10" x14ac:dyDescent="0.2">
      <c r="B8" s="2" t="s">
        <v>88</v>
      </c>
      <c r="C8" s="3">
        <v>1.1000000000000001</v>
      </c>
      <c r="D8" s="3">
        <v>0</v>
      </c>
      <c r="E8" s="3">
        <v>1.6</v>
      </c>
      <c r="F8" s="3">
        <v>0.9</v>
      </c>
      <c r="G8" s="3">
        <v>1.3</v>
      </c>
      <c r="I8" s="3">
        <v>1.7</v>
      </c>
    </row>
    <row r="9" spans="1:10" s="24" customFormat="1" x14ac:dyDescent="0.2">
      <c r="A9" s="24" t="s">
        <v>116</v>
      </c>
      <c r="B9" s="25" t="s">
        <v>52</v>
      </c>
      <c r="C9" s="26">
        <v>3</v>
      </c>
      <c r="D9" s="26">
        <v>4</v>
      </c>
      <c r="E9" s="26">
        <v>3</v>
      </c>
      <c r="F9" s="26">
        <v>4</v>
      </c>
      <c r="G9" s="26">
        <v>3</v>
      </c>
      <c r="H9" s="26">
        <v>3</v>
      </c>
      <c r="I9" s="26">
        <v>3</v>
      </c>
    </row>
    <row r="10" spans="1:10" x14ac:dyDescent="0.2">
      <c r="A10" t="s">
        <v>120</v>
      </c>
      <c r="B10" s="2" t="s">
        <v>53</v>
      </c>
      <c r="C10" s="3">
        <v>0</v>
      </c>
      <c r="D10" s="3"/>
      <c r="E10" s="3"/>
    </row>
    <row r="11" spans="1:10" s="20" customFormat="1" x14ac:dyDescent="0.2">
      <c r="A11" s="18"/>
      <c r="B11" s="18" t="s">
        <v>54</v>
      </c>
      <c r="C11" s="19">
        <v>0</v>
      </c>
      <c r="D11" s="19"/>
      <c r="E11" s="19"/>
    </row>
    <row r="12" spans="1:10" s="20" customFormat="1" x14ac:dyDescent="0.2">
      <c r="B12" s="18" t="s">
        <v>55</v>
      </c>
      <c r="C12" s="19">
        <v>0</v>
      </c>
      <c r="D12" s="19"/>
      <c r="E12" s="19"/>
    </row>
    <row r="13" spans="1:10" x14ac:dyDescent="0.2">
      <c r="A13" t="s">
        <v>120</v>
      </c>
      <c r="B13" s="2" t="s">
        <v>56</v>
      </c>
      <c r="C13" s="3">
        <v>0</v>
      </c>
      <c r="D13" s="3"/>
      <c r="E13" s="3"/>
    </row>
    <row r="14" spans="1:10" x14ac:dyDescent="0.2">
      <c r="A14" t="s">
        <v>115</v>
      </c>
      <c r="B14" s="2" t="s">
        <v>57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</row>
    <row r="15" spans="1:10" x14ac:dyDescent="0.2">
      <c r="B15" s="2" t="s">
        <v>58</v>
      </c>
      <c r="C15" s="3">
        <v>0</v>
      </c>
      <c r="D15" s="3"/>
      <c r="E15" s="3"/>
    </row>
    <row r="16" spans="1:10" x14ac:dyDescent="0.2">
      <c r="B16" s="2" t="s">
        <v>59</v>
      </c>
      <c r="C16" s="3">
        <v>0</v>
      </c>
      <c r="D16" s="3"/>
      <c r="E16" s="3"/>
    </row>
    <row r="17" spans="1:13" x14ac:dyDescent="0.2">
      <c r="A17" t="s">
        <v>118</v>
      </c>
      <c r="B17" s="2" t="s">
        <v>110</v>
      </c>
      <c r="C17" s="3">
        <v>0</v>
      </c>
      <c r="D17" s="3">
        <v>2</v>
      </c>
      <c r="E17" s="3"/>
      <c r="H17">
        <v>1.6</v>
      </c>
    </row>
    <row r="18" spans="1:13" s="21" customFormat="1" x14ac:dyDescent="0.2">
      <c r="B18" s="22" t="s">
        <v>129</v>
      </c>
      <c r="C18" s="23">
        <v>0</v>
      </c>
      <c r="D18" s="23"/>
      <c r="E18" s="23"/>
    </row>
    <row r="19" spans="1:13" s="21" customFormat="1" x14ac:dyDescent="0.2">
      <c r="A19" s="21" t="s">
        <v>117</v>
      </c>
      <c r="B19" s="22" t="s">
        <v>130</v>
      </c>
      <c r="C19" s="23">
        <v>6</v>
      </c>
      <c r="D19" s="23">
        <v>2</v>
      </c>
      <c r="E19" s="23">
        <v>3</v>
      </c>
      <c r="G19" s="23">
        <v>6</v>
      </c>
      <c r="H19" s="23">
        <v>3</v>
      </c>
      <c r="I19" s="23">
        <v>3</v>
      </c>
    </row>
    <row r="20" spans="1:13" x14ac:dyDescent="0.2">
      <c r="B20" s="16" t="s">
        <v>91</v>
      </c>
      <c r="C20" s="3">
        <v>1976.3</v>
      </c>
      <c r="D20" s="3">
        <v>3117.9</v>
      </c>
      <c r="E20" s="3">
        <v>2813.7</v>
      </c>
      <c r="F20" s="3">
        <v>4374.8999999999996</v>
      </c>
      <c r="G20" s="4">
        <v>2813.7</v>
      </c>
      <c r="H20" s="4">
        <v>3952.6</v>
      </c>
      <c r="I20" s="4">
        <v>3952.6</v>
      </c>
      <c r="J20">
        <f>C20/C6</f>
        <v>2470.375</v>
      </c>
      <c r="K20">
        <f>D20/D6</f>
        <v>2398.3846153846152</v>
      </c>
      <c r="L20">
        <f>E20/E6</f>
        <v>2344.75</v>
      </c>
      <c r="M20">
        <f>F20/F6</f>
        <v>2430.4999999999995</v>
      </c>
    </row>
    <row r="21" spans="1:13" x14ac:dyDescent="0.2">
      <c r="B21" s="16" t="s">
        <v>90</v>
      </c>
      <c r="C21" s="3">
        <v>1800</v>
      </c>
      <c r="D21" s="3">
        <v>2200</v>
      </c>
      <c r="E21" s="3">
        <v>1508</v>
      </c>
      <c r="F21" s="3">
        <v>2500</v>
      </c>
      <c r="G21" s="3">
        <v>1848</v>
      </c>
      <c r="H21" s="3">
        <v>6000</v>
      </c>
      <c r="I21" s="3">
        <v>3000</v>
      </c>
    </row>
    <row r="22" spans="1:13" x14ac:dyDescent="0.2">
      <c r="B22" s="16" t="s">
        <v>89</v>
      </c>
      <c r="C22" s="3">
        <v>832.1</v>
      </c>
      <c r="D22" s="3">
        <v>0</v>
      </c>
      <c r="E22" s="3">
        <v>1188.4000000000001</v>
      </c>
      <c r="F22" s="3">
        <v>641.9</v>
      </c>
      <c r="G22" s="3">
        <v>1188.4000000000001</v>
      </c>
      <c r="I22" s="4">
        <f>E22</f>
        <v>1188.4000000000001</v>
      </c>
    </row>
    <row r="23" spans="1:13" x14ac:dyDescent="0.2">
      <c r="A23" t="s">
        <v>116</v>
      </c>
      <c r="B23" s="2" t="s">
        <v>92</v>
      </c>
      <c r="C23" s="17">
        <v>717</v>
      </c>
      <c r="D23" s="3">
        <v>956</v>
      </c>
      <c r="E23" s="3">
        <v>717</v>
      </c>
      <c r="F23" s="3">
        <v>956</v>
      </c>
      <c r="G23" s="3">
        <v>717</v>
      </c>
      <c r="H23" s="3">
        <v>717</v>
      </c>
      <c r="I23" s="3">
        <v>717</v>
      </c>
    </row>
    <row r="24" spans="1:13" x14ac:dyDescent="0.2">
      <c r="B24" s="2" t="s">
        <v>93</v>
      </c>
      <c r="C24" s="3">
        <v>0</v>
      </c>
      <c r="D24" s="3"/>
      <c r="E24" s="3"/>
    </row>
    <row r="25" spans="1:13" x14ac:dyDescent="0.2">
      <c r="B25" s="2" t="s">
        <v>94</v>
      </c>
      <c r="C25" s="3">
        <v>0</v>
      </c>
      <c r="D25" s="3"/>
      <c r="E25" s="3"/>
    </row>
    <row r="26" spans="1:13" x14ac:dyDescent="0.2">
      <c r="B26" s="2" t="s">
        <v>95</v>
      </c>
      <c r="C26" s="3">
        <v>0</v>
      </c>
      <c r="D26" s="3"/>
      <c r="E26" s="3"/>
    </row>
    <row r="27" spans="1:13" x14ac:dyDescent="0.2">
      <c r="B27" s="2" t="s">
        <v>96</v>
      </c>
      <c r="C27" s="3">
        <v>0</v>
      </c>
      <c r="D27" s="3"/>
      <c r="E27" s="3"/>
    </row>
    <row r="28" spans="1:13" x14ac:dyDescent="0.2">
      <c r="A28" t="s">
        <v>115</v>
      </c>
      <c r="B28" s="2" t="s">
        <v>97</v>
      </c>
      <c r="C28" s="17">
        <v>573</v>
      </c>
      <c r="D28" s="3">
        <v>573</v>
      </c>
      <c r="E28" s="3">
        <v>573</v>
      </c>
      <c r="F28" s="3">
        <v>573</v>
      </c>
      <c r="G28" s="3">
        <v>573</v>
      </c>
      <c r="H28" s="3">
        <v>573</v>
      </c>
      <c r="I28" s="3">
        <v>573</v>
      </c>
    </row>
    <row r="29" spans="1:13" x14ac:dyDescent="0.2">
      <c r="B29" s="2" t="s">
        <v>98</v>
      </c>
      <c r="C29" s="3">
        <v>0</v>
      </c>
      <c r="D29" s="3"/>
      <c r="E29" s="3"/>
    </row>
    <row r="30" spans="1:13" x14ac:dyDescent="0.2">
      <c r="B30" s="2" t="s">
        <v>99</v>
      </c>
      <c r="C30" s="3">
        <v>0</v>
      </c>
      <c r="D30" s="3"/>
      <c r="E30" s="3"/>
    </row>
    <row r="31" spans="1:13" x14ac:dyDescent="0.2">
      <c r="A31" t="s">
        <v>118</v>
      </c>
      <c r="B31" s="2" t="s">
        <v>111</v>
      </c>
      <c r="C31" s="3"/>
      <c r="D31" s="3">
        <v>20</v>
      </c>
      <c r="E31" s="3"/>
      <c r="H31">
        <v>16</v>
      </c>
    </row>
    <row r="32" spans="1:13" x14ac:dyDescent="0.2">
      <c r="B32" s="2" t="s">
        <v>100</v>
      </c>
      <c r="C32" s="3">
        <v>0</v>
      </c>
      <c r="D32" s="3"/>
      <c r="E32" s="3"/>
    </row>
    <row r="33" spans="1:10" x14ac:dyDescent="0.2">
      <c r="A33" t="s">
        <v>117</v>
      </c>
      <c r="B33" s="2" t="s">
        <v>101</v>
      </c>
      <c r="C33" s="3">
        <v>96</v>
      </c>
      <c r="D33" s="3">
        <v>32</v>
      </c>
      <c r="E33" s="3">
        <v>48</v>
      </c>
      <c r="G33" s="3">
        <v>48</v>
      </c>
      <c r="H33" s="3">
        <v>48</v>
      </c>
      <c r="I33" s="3">
        <v>48</v>
      </c>
    </row>
    <row r="34" spans="1:10" x14ac:dyDescent="0.2">
      <c r="B34" s="2" t="s">
        <v>60</v>
      </c>
      <c r="C34" s="3">
        <v>4634.8999999999996</v>
      </c>
      <c r="D34" s="3">
        <v>7760.19</v>
      </c>
      <c r="E34" s="3">
        <v>4241</v>
      </c>
      <c r="F34" s="3">
        <v>6243.9</v>
      </c>
      <c r="G34">
        <v>5911</v>
      </c>
      <c r="H34" s="3">
        <v>8933.2999999999993</v>
      </c>
      <c r="I34" s="4">
        <f>H34</f>
        <v>8933.2999999999993</v>
      </c>
    </row>
    <row r="35" spans="1:10" x14ac:dyDescent="0.2">
      <c r="B35" s="2" t="s">
        <v>61</v>
      </c>
      <c r="C35" s="3">
        <v>1426.9</v>
      </c>
      <c r="D35" s="3">
        <v>2751.23</v>
      </c>
      <c r="E35" s="3">
        <v>1478.1</v>
      </c>
      <c r="F35" s="3">
        <v>2394</v>
      </c>
      <c r="G35">
        <v>2113.5300000000002</v>
      </c>
      <c r="H35" s="3">
        <v>5070.8</v>
      </c>
      <c r="I35" s="3">
        <v>2242.6</v>
      </c>
    </row>
    <row r="36" spans="1:10" x14ac:dyDescent="0.2">
      <c r="B36" s="2" t="s">
        <v>62</v>
      </c>
      <c r="C36" s="3">
        <v>3098.6</v>
      </c>
      <c r="D36" s="3">
        <v>0</v>
      </c>
      <c r="E36" s="3">
        <v>3676.6</v>
      </c>
      <c r="F36" s="3">
        <v>1468.1</v>
      </c>
      <c r="G36">
        <v>3301.55</v>
      </c>
      <c r="I36">
        <f>G36</f>
        <v>3301.55</v>
      </c>
    </row>
    <row r="37" spans="1:10" x14ac:dyDescent="0.2">
      <c r="A37" t="s">
        <v>116</v>
      </c>
      <c r="B37" s="2" t="s">
        <v>63</v>
      </c>
      <c r="C37" s="3">
        <v>1003.8</v>
      </c>
      <c r="D37" s="3">
        <v>1946.08</v>
      </c>
      <c r="E37" s="3">
        <v>1215.1099999999999</v>
      </c>
      <c r="F37" s="3">
        <v>1599.3</v>
      </c>
      <c r="G37">
        <v>734.09</v>
      </c>
      <c r="H37" s="3">
        <v>1627.2</v>
      </c>
      <c r="I37" s="3">
        <v>1086.2</v>
      </c>
      <c r="J37" s="4"/>
    </row>
    <row r="38" spans="1:10" x14ac:dyDescent="0.2">
      <c r="B38" s="2" t="s">
        <v>64</v>
      </c>
      <c r="C38" s="3">
        <v>0</v>
      </c>
      <c r="D38" s="3"/>
      <c r="E38" s="3"/>
    </row>
    <row r="39" spans="1:10" x14ac:dyDescent="0.2">
      <c r="B39" s="2" t="s">
        <v>65</v>
      </c>
      <c r="C39" s="3">
        <v>0</v>
      </c>
      <c r="D39" s="3"/>
      <c r="E39" s="3"/>
    </row>
    <row r="40" spans="1:10" x14ac:dyDescent="0.2">
      <c r="B40" s="2" t="s">
        <v>66</v>
      </c>
      <c r="C40" s="3">
        <v>0</v>
      </c>
      <c r="D40" s="3"/>
      <c r="E40" s="3"/>
    </row>
    <row r="41" spans="1:10" x14ac:dyDescent="0.2">
      <c r="B41" s="2" t="s">
        <v>67</v>
      </c>
      <c r="C41" s="3">
        <v>0</v>
      </c>
      <c r="D41" s="3"/>
      <c r="E41" s="3"/>
    </row>
    <row r="42" spans="1:10" x14ac:dyDescent="0.2">
      <c r="A42" t="s">
        <v>115</v>
      </c>
      <c r="B42" s="2" t="s">
        <v>68</v>
      </c>
      <c r="C42" s="3">
        <v>3071.2</v>
      </c>
      <c r="D42" s="3">
        <v>2354.04</v>
      </c>
      <c r="E42" s="3">
        <v>2657.76</v>
      </c>
      <c r="F42" s="3">
        <v>2712.5</v>
      </c>
      <c r="G42">
        <v>1979.55</v>
      </c>
      <c r="H42" s="3">
        <v>1772.1</v>
      </c>
      <c r="I42" s="3">
        <v>2213.6999999999998</v>
      </c>
    </row>
    <row r="43" spans="1:10" x14ac:dyDescent="0.2">
      <c r="B43" s="2" t="s">
        <v>69</v>
      </c>
      <c r="C43" s="3">
        <v>0</v>
      </c>
      <c r="D43" s="3"/>
      <c r="E43" s="3"/>
    </row>
    <row r="44" spans="1:10" x14ac:dyDescent="0.2">
      <c r="B44" s="2" t="s">
        <v>70</v>
      </c>
      <c r="C44" s="3">
        <v>0</v>
      </c>
      <c r="D44" s="3"/>
      <c r="E44" s="3"/>
    </row>
    <row r="45" spans="1:10" x14ac:dyDescent="0.2">
      <c r="A45" t="s">
        <v>118</v>
      </c>
      <c r="B45" s="2" t="s">
        <v>112</v>
      </c>
      <c r="C45" s="3"/>
      <c r="D45" s="3">
        <v>6.37</v>
      </c>
      <c r="E45" s="3"/>
      <c r="H45">
        <v>26.3</v>
      </c>
    </row>
    <row r="46" spans="1:10" x14ac:dyDescent="0.2">
      <c r="B46" s="2" t="s">
        <v>71</v>
      </c>
      <c r="C46" s="3">
        <v>0</v>
      </c>
      <c r="D46" s="3"/>
      <c r="E46" s="3"/>
    </row>
    <row r="47" spans="1:10" x14ac:dyDescent="0.2">
      <c r="A47" t="s">
        <v>117</v>
      </c>
      <c r="B47" s="2" t="s">
        <v>72</v>
      </c>
      <c r="C47" s="3">
        <v>40.200000000000003</v>
      </c>
      <c r="D47" s="3">
        <v>18.649999999999999</v>
      </c>
      <c r="E47" s="3">
        <v>65.02</v>
      </c>
      <c r="G47">
        <v>44.97</v>
      </c>
      <c r="H47" s="3">
        <v>151.69999999999999</v>
      </c>
      <c r="I47" s="3">
        <v>55.8</v>
      </c>
    </row>
    <row r="48" spans="1:10" x14ac:dyDescent="0.2">
      <c r="B48" s="2" t="s">
        <v>82</v>
      </c>
      <c r="C48" s="9">
        <f>IFERROR(C34*1000/C20/8760,0)</f>
        <v>0.26772158757070375</v>
      </c>
      <c r="D48" s="9">
        <f t="shared" ref="C48:D59" si="0">IFERROR(D34*1000/D20/8760,0)</f>
        <v>0.2841227872465969</v>
      </c>
      <c r="E48" s="9">
        <f t="shared" ref="E48:F48" si="1">IFERROR(E34*1000/E20/8760,0)</f>
        <v>0.17206255822984831</v>
      </c>
      <c r="F48" s="9">
        <f t="shared" si="1"/>
        <v>0.1629234891318064</v>
      </c>
      <c r="G48" s="9">
        <f t="shared" ref="G48:H48" si="2">IFERROR(G34*1000/G20/8760,0)</f>
        <v>0.2398165012253321</v>
      </c>
      <c r="H48" s="9">
        <f t="shared" si="2"/>
        <v>0.25800311314649371</v>
      </c>
      <c r="I48" s="9">
        <f t="shared" ref="I48" si="3">IFERROR(I34*1000/I20/8760,0)</f>
        <v>0.25800311314649371</v>
      </c>
    </row>
    <row r="49" spans="1:9" x14ac:dyDescent="0.2">
      <c r="B49" s="2" t="s">
        <v>73</v>
      </c>
      <c r="C49" s="9">
        <f>IFERROR(C35*1000/C21/8760,0)</f>
        <v>9.0493404363267374E-2</v>
      </c>
      <c r="D49" s="9">
        <f t="shared" si="0"/>
        <v>0.14275788709007886</v>
      </c>
      <c r="E49" s="9">
        <f t="shared" ref="E49:F49" si="4">IFERROR(E35*1000/E21/8760,0)</f>
        <v>0.11189182805857346</v>
      </c>
      <c r="F49" s="9">
        <f t="shared" si="4"/>
        <v>0.10931506849315069</v>
      </c>
      <c r="G49" s="9">
        <f t="shared" ref="G49:H49" si="5">IFERROR(G35*1000/G21/8760,0)</f>
        <v>0.13055765581450512</v>
      </c>
      <c r="H49" s="9">
        <f t="shared" si="5"/>
        <v>9.6476407914764084E-2</v>
      </c>
      <c r="I49" s="9">
        <f t="shared" ref="I49" si="6">IFERROR(I35*1000/I21/8760,0)</f>
        <v>8.533485540334855E-2</v>
      </c>
    </row>
    <row r="50" spans="1:9" x14ac:dyDescent="0.2">
      <c r="B50" s="2" t="s">
        <v>74</v>
      </c>
      <c r="C50" s="9">
        <f t="shared" si="0"/>
        <v>0.42509489386758154</v>
      </c>
      <c r="D50" s="9">
        <f t="shared" si="0"/>
        <v>0</v>
      </c>
      <c r="E50" s="9">
        <f t="shared" ref="E50:F50" si="7">IFERROR(E36*1000/E22/8760,0)</f>
        <v>0.35316660749497802</v>
      </c>
      <c r="F50" s="9">
        <f t="shared" si="7"/>
        <v>0.26108634398023567</v>
      </c>
      <c r="G50" s="9">
        <f t="shared" ref="G50:H50" si="8">IFERROR(G36*1000/G22/8760,0)</f>
        <v>0.31714007859844556</v>
      </c>
      <c r="H50" s="9">
        <f t="shared" si="8"/>
        <v>0</v>
      </c>
      <c r="I50" s="9">
        <f t="shared" ref="I50" si="9">IFERROR(I36*1000/I22/8760,0)</f>
        <v>0.31714007859844556</v>
      </c>
    </row>
    <row r="51" spans="1:9" x14ac:dyDescent="0.2">
      <c r="A51" t="s">
        <v>116</v>
      </c>
      <c r="B51" s="2" t="s">
        <v>75</v>
      </c>
      <c r="C51" s="9">
        <f t="shared" si="0"/>
        <v>0.15981735159817351</v>
      </c>
      <c r="D51" s="9">
        <f t="shared" si="0"/>
        <v>0.23237996981333944</v>
      </c>
      <c r="E51" s="9">
        <f t="shared" ref="E51:F51" si="10">IFERROR(E37*1000/E23/8760,0)</f>
        <v>0.19346051215427038</v>
      </c>
      <c r="F51" s="9">
        <f t="shared" si="10"/>
        <v>0.1909712271450679</v>
      </c>
      <c r="G51" s="9">
        <f t="shared" ref="G51:H51" si="11">IFERROR(G37*1000/G23/8760,0)</f>
        <v>0.11687619011227654</v>
      </c>
      <c r="H51" s="9">
        <f t="shared" si="11"/>
        <v>0.25907032727689577</v>
      </c>
      <c r="I51" s="9">
        <f t="shared" ref="I51" si="12">IFERROR(I37*1000/I23/8760,0)</f>
        <v>0.17293644880049419</v>
      </c>
    </row>
    <row r="52" spans="1:9" x14ac:dyDescent="0.2">
      <c r="B52" s="2" t="s">
        <v>76</v>
      </c>
      <c r="C52" s="9">
        <f t="shared" si="0"/>
        <v>0</v>
      </c>
      <c r="D52" s="9">
        <f t="shared" si="0"/>
        <v>0</v>
      </c>
      <c r="E52" s="9">
        <f t="shared" ref="E52:F52" si="13">IFERROR(E38*1000/E24/8760,0)</f>
        <v>0</v>
      </c>
      <c r="F52" s="9">
        <f t="shared" si="13"/>
        <v>0</v>
      </c>
      <c r="G52" s="9">
        <f t="shared" ref="G52:H52" si="14">IFERROR(G38*1000/G24/8760,0)</f>
        <v>0</v>
      </c>
      <c r="H52" s="9">
        <f t="shared" si="14"/>
        <v>0</v>
      </c>
      <c r="I52" s="9">
        <f t="shared" ref="I52" si="15">IFERROR(I38*1000/I24/8760,0)</f>
        <v>0</v>
      </c>
    </row>
    <row r="53" spans="1:9" x14ac:dyDescent="0.2">
      <c r="B53" s="2" t="s">
        <v>77</v>
      </c>
      <c r="C53" s="9">
        <f t="shared" si="0"/>
        <v>0</v>
      </c>
      <c r="D53" s="9">
        <f t="shared" si="0"/>
        <v>0</v>
      </c>
      <c r="E53" s="9">
        <f t="shared" ref="E53:F53" si="16">IFERROR(E39*1000/E25/8760,0)</f>
        <v>0</v>
      </c>
      <c r="F53" s="9">
        <f t="shared" si="16"/>
        <v>0</v>
      </c>
      <c r="G53" s="9">
        <f t="shared" ref="G53:H53" si="17">IFERROR(G39*1000/G25/8760,0)</f>
        <v>0</v>
      </c>
      <c r="H53" s="9">
        <f t="shared" si="17"/>
        <v>0</v>
      </c>
      <c r="I53" s="9">
        <f t="shared" ref="I53" si="18">IFERROR(I39*1000/I25/8760,0)</f>
        <v>0</v>
      </c>
    </row>
    <row r="54" spans="1:9" x14ac:dyDescent="0.2">
      <c r="B54" s="2" t="s">
        <v>78</v>
      </c>
      <c r="C54" s="9">
        <f t="shared" si="0"/>
        <v>0</v>
      </c>
      <c r="D54" s="9">
        <f t="shared" si="0"/>
        <v>0</v>
      </c>
      <c r="E54" s="9">
        <f t="shared" ref="E54:F54" si="19">IFERROR(E40*1000/E26/8760,0)</f>
        <v>0</v>
      </c>
      <c r="F54" s="9">
        <f t="shared" si="19"/>
        <v>0</v>
      </c>
      <c r="G54" s="9">
        <f t="shared" ref="G54:H54" si="20">IFERROR(G40*1000/G26/8760,0)</f>
        <v>0</v>
      </c>
      <c r="H54" s="9">
        <f t="shared" si="20"/>
        <v>0</v>
      </c>
      <c r="I54" s="9">
        <f t="shared" ref="I54" si="21">IFERROR(I40*1000/I26/8760,0)</f>
        <v>0</v>
      </c>
    </row>
    <row r="55" spans="1:9" x14ac:dyDescent="0.2">
      <c r="B55" s="2" t="s">
        <v>83</v>
      </c>
      <c r="C55" s="9">
        <f t="shared" si="0"/>
        <v>0</v>
      </c>
      <c r="D55" s="9">
        <f t="shared" si="0"/>
        <v>0</v>
      </c>
      <c r="E55" s="9">
        <f t="shared" ref="E55:F55" si="22">IFERROR(E41*1000/E27/8760,0)</f>
        <v>0</v>
      </c>
      <c r="F55" s="9">
        <f t="shared" si="22"/>
        <v>0</v>
      </c>
      <c r="G55" s="9">
        <f t="shared" ref="G55:H55" si="23">IFERROR(G41*1000/G27/8760,0)</f>
        <v>0</v>
      </c>
      <c r="H55" s="9">
        <f t="shared" si="23"/>
        <v>0</v>
      </c>
      <c r="I55" s="9">
        <f t="shared" ref="I55" si="24">IFERROR(I41*1000/I27/8760,0)</f>
        <v>0</v>
      </c>
    </row>
    <row r="56" spans="1:9" x14ac:dyDescent="0.2">
      <c r="A56" t="s">
        <v>115</v>
      </c>
      <c r="B56" s="2" t="s">
        <v>79</v>
      </c>
      <c r="C56" s="9">
        <f t="shared" si="0"/>
        <v>0.61185620821280295</v>
      </c>
      <c r="D56" s="9">
        <f t="shared" si="0"/>
        <v>0.46898085060603883</v>
      </c>
      <c r="E56" s="9">
        <f t="shared" ref="E56:F56" si="25">IFERROR(E42*1000/E28/8760,0)</f>
        <v>0.52948911042578117</v>
      </c>
      <c r="F56" s="9">
        <f t="shared" si="25"/>
        <v>0.54039462255054305</v>
      </c>
      <c r="G56" s="9">
        <f t="shared" ref="G56:H56" si="26">IFERROR(G42*1000/G28/8760,0)</f>
        <v>0.39437352076310694</v>
      </c>
      <c r="H56" s="9">
        <f t="shared" si="26"/>
        <v>0.35304453847808936</v>
      </c>
      <c r="I56" s="9">
        <f t="shared" ref="I56" si="27">IFERROR(I42*1000/I28/8760,0)</f>
        <v>0.44102177914843771</v>
      </c>
    </row>
    <row r="57" spans="1:9" x14ac:dyDescent="0.2">
      <c r="B57" s="2" t="s">
        <v>80</v>
      </c>
      <c r="C57" s="9">
        <f t="shared" si="0"/>
        <v>0</v>
      </c>
      <c r="D57" s="9">
        <f t="shared" si="0"/>
        <v>0</v>
      </c>
      <c r="E57" s="9">
        <f t="shared" ref="E57:F57" si="28">IFERROR(E43*1000/E29/8760,0)</f>
        <v>0</v>
      </c>
      <c r="F57" s="9">
        <f t="shared" si="28"/>
        <v>0</v>
      </c>
      <c r="G57" s="9">
        <f t="shared" ref="G57:H57" si="29">IFERROR(G43*1000/G29/8760,0)</f>
        <v>0</v>
      </c>
      <c r="H57" s="9">
        <f t="shared" si="29"/>
        <v>0</v>
      </c>
      <c r="I57" s="9">
        <f t="shared" ref="I57" si="30">IFERROR(I43*1000/I29/8760,0)</f>
        <v>0</v>
      </c>
    </row>
    <row r="58" spans="1:9" x14ac:dyDescent="0.2">
      <c r="B58" s="2" t="s">
        <v>81</v>
      </c>
      <c r="C58" s="9">
        <f t="shared" si="0"/>
        <v>0</v>
      </c>
      <c r="D58" s="9">
        <f t="shared" si="0"/>
        <v>0</v>
      </c>
      <c r="E58" s="9">
        <f t="shared" ref="E58:F58" si="31">IFERROR(E44*1000/E30/8760,0)</f>
        <v>0</v>
      </c>
      <c r="F58" s="9">
        <f t="shared" si="31"/>
        <v>0</v>
      </c>
      <c r="G58" s="9">
        <f t="shared" ref="G58:H58" si="32">IFERROR(G44*1000/G30/8760,0)</f>
        <v>0</v>
      </c>
      <c r="H58" s="9">
        <f t="shared" si="32"/>
        <v>0</v>
      </c>
      <c r="I58" s="9">
        <f t="shared" ref="I58" si="33">IFERROR(I44*1000/I30/8760,0)</f>
        <v>0</v>
      </c>
    </row>
    <row r="59" spans="1:9" x14ac:dyDescent="0.2">
      <c r="A59" t="s">
        <v>118</v>
      </c>
      <c r="B59" s="2" t="s">
        <v>113</v>
      </c>
      <c r="C59" s="9">
        <f t="shared" si="0"/>
        <v>0</v>
      </c>
      <c r="D59" s="9">
        <f t="shared" si="0"/>
        <v>3.6358447488584474E-2</v>
      </c>
      <c r="E59" s="9">
        <f t="shared" ref="E59:F59" si="34">IFERROR(E45*1000/E31/8760,0)</f>
        <v>0</v>
      </c>
      <c r="F59" s="9">
        <f t="shared" si="34"/>
        <v>0</v>
      </c>
      <c r="G59" s="9">
        <f t="shared" ref="G59:H59" si="35">IFERROR(G45*1000/G31/8760,0)</f>
        <v>0</v>
      </c>
      <c r="H59" s="9">
        <f t="shared" si="35"/>
        <v>0.18764269406392695</v>
      </c>
      <c r="I59" s="9">
        <f t="shared" ref="I59" si="36">IFERROR(I45*1000/I31/8760,0)</f>
        <v>0</v>
      </c>
    </row>
    <row r="60" spans="1:9" x14ac:dyDescent="0.2">
      <c r="B60" s="2" t="s">
        <v>84</v>
      </c>
      <c r="C60" s="9">
        <f>IFERROR(C46*1000/C32/8760,0)</f>
        <v>0</v>
      </c>
      <c r="D60" s="9">
        <f t="shared" ref="D60:E61" si="37">IFERROR(D46*1000/D32/8760,0)</f>
        <v>0</v>
      </c>
      <c r="E60" s="9">
        <f t="shared" si="37"/>
        <v>0</v>
      </c>
      <c r="F60" s="9">
        <f t="shared" ref="F60:G60" si="38">IFERROR(F46*1000/F32/8760,0)</f>
        <v>0</v>
      </c>
      <c r="G60" s="9">
        <f t="shared" si="38"/>
        <v>0</v>
      </c>
      <c r="H60" s="9">
        <f t="shared" ref="H60:I60" si="39">IFERROR(H46*1000/H32/8760,0)</f>
        <v>0</v>
      </c>
      <c r="I60" s="9">
        <f t="shared" si="39"/>
        <v>0</v>
      </c>
    </row>
    <row r="61" spans="1:9" x14ac:dyDescent="0.2">
      <c r="A61" t="s">
        <v>117</v>
      </c>
      <c r="B61" s="2" t="s">
        <v>85</v>
      </c>
      <c r="C61" s="9">
        <f>IFERROR(C47*1000/C33/8760,0)</f>
        <v>4.7802511415525113E-2</v>
      </c>
      <c r="D61" s="9">
        <f t="shared" si="37"/>
        <v>6.6531107305936074E-2</v>
      </c>
      <c r="E61" s="9">
        <f t="shared" si="37"/>
        <v>0.154632800608828</v>
      </c>
      <c r="F61" s="9">
        <f t="shared" ref="F61:G61" si="40">IFERROR(F47*1000/F33/8760,0)</f>
        <v>0</v>
      </c>
      <c r="G61" s="9">
        <f t="shared" si="40"/>
        <v>0.106949200913242</v>
      </c>
      <c r="H61" s="9">
        <f t="shared" ref="H61:I61" si="41">IFERROR(H47*1000/H33/8760,0)</f>
        <v>0.36077815829528159</v>
      </c>
      <c r="I61" s="9">
        <f t="shared" si="41"/>
        <v>0.1327054794520548</v>
      </c>
    </row>
    <row r="62" spans="1:9" x14ac:dyDescent="0.2">
      <c r="B62" s="2" t="s">
        <v>104</v>
      </c>
      <c r="C62" s="4">
        <f t="shared" ref="C62:I62" si="42">SUM(C20:C33)</f>
        <v>5994.4000000000005</v>
      </c>
      <c r="D62" s="4">
        <f t="shared" si="42"/>
        <v>6898.9</v>
      </c>
      <c r="E62" s="4">
        <f t="shared" si="42"/>
        <v>6848.1</v>
      </c>
      <c r="F62" s="4">
        <f t="shared" si="42"/>
        <v>9045.7999999999993</v>
      </c>
      <c r="G62" s="4">
        <f t="shared" si="42"/>
        <v>7188.1</v>
      </c>
      <c r="H62" s="4">
        <f t="shared" si="42"/>
        <v>11306.6</v>
      </c>
      <c r="I62" s="4">
        <f t="shared" si="42"/>
        <v>9479</v>
      </c>
    </row>
    <row r="63" spans="1:9" x14ac:dyDescent="0.2">
      <c r="B63" s="2" t="s">
        <v>103</v>
      </c>
      <c r="C63" s="7">
        <v>0.99999000000000005</v>
      </c>
      <c r="D63" s="7">
        <v>0.99999000000000005</v>
      </c>
      <c r="E63" s="7">
        <v>0.99999000000000005</v>
      </c>
      <c r="F63" s="7">
        <v>0.99999000000000005</v>
      </c>
      <c r="G63" s="7">
        <v>0.99999000000000005</v>
      </c>
      <c r="H63" s="7">
        <v>0.99999000000000005</v>
      </c>
      <c r="I63" s="7">
        <v>0.99999000000000005</v>
      </c>
    </row>
    <row r="64" spans="1:9" x14ac:dyDescent="0.2">
      <c r="B64" s="2" t="s">
        <v>105</v>
      </c>
      <c r="C64" s="3">
        <v>83.4</v>
      </c>
      <c r="D64" s="3">
        <v>79.370427971510367</v>
      </c>
      <c r="E64" s="3">
        <v>79.206171680441543</v>
      </c>
      <c r="F64" s="3">
        <v>98.024269577885178</v>
      </c>
      <c r="G64" s="3">
        <v>79.588702912683857</v>
      </c>
      <c r="H64" s="3">
        <v>112.74298371079142</v>
      </c>
      <c r="I64" s="4">
        <f>E64/F64*H64</f>
        <v>91.099277373006956</v>
      </c>
    </row>
    <row r="65" spans="2:9" x14ac:dyDescent="0.2">
      <c r="B65" s="2" t="s">
        <v>106</v>
      </c>
      <c r="C65" s="5">
        <f t="shared" ref="C65:I65" si="43">C3</f>
        <v>0.69</v>
      </c>
      <c r="D65" s="5">
        <f t="shared" si="43"/>
        <v>0.70799999999999996</v>
      </c>
      <c r="E65" s="5">
        <f t="shared" si="43"/>
        <v>0.70466437821415207</v>
      </c>
      <c r="F65" s="5">
        <f t="shared" si="43"/>
        <v>0.70094287014276924</v>
      </c>
      <c r="G65" s="5">
        <f t="shared" si="43"/>
        <v>0.80414123420536765</v>
      </c>
      <c r="H65" s="5">
        <f t="shared" si="43"/>
        <v>0.79652385004254456</v>
      </c>
      <c r="I65" s="5">
        <f t="shared" si="43"/>
        <v>0.81182797206326418</v>
      </c>
    </row>
    <row r="66" spans="2:9" x14ac:dyDescent="0.2">
      <c r="B66" s="2" t="s">
        <v>109</v>
      </c>
      <c r="C66" s="12">
        <v>193.55881264540164</v>
      </c>
      <c r="D66" s="12">
        <v>387.87</v>
      </c>
      <c r="E66" s="12">
        <v>284.42</v>
      </c>
      <c r="F66" s="12">
        <v>431.42</v>
      </c>
      <c r="G66" s="12">
        <v>174.31097894631478</v>
      </c>
      <c r="H66" s="4">
        <v>256.1367677055166</v>
      </c>
      <c r="I66" s="4">
        <f>E66/F66*H66</f>
        <v>168.86194305039876</v>
      </c>
    </row>
    <row r="67" spans="2:9" x14ac:dyDescent="0.2">
      <c r="B67" s="2" t="s">
        <v>107</v>
      </c>
      <c r="C67" s="12">
        <v>39.61</v>
      </c>
      <c r="D67" s="12">
        <v>500.56</v>
      </c>
      <c r="E67" s="12">
        <v>282.89</v>
      </c>
      <c r="F67" s="12">
        <v>590</v>
      </c>
      <c r="G67" s="12">
        <v>479.21</v>
      </c>
      <c r="H67" s="12">
        <v>1538.98</v>
      </c>
      <c r="I67">
        <v>747.03</v>
      </c>
    </row>
    <row r="68" spans="2:9" x14ac:dyDescent="0.2">
      <c r="B68" s="2" t="s">
        <v>108</v>
      </c>
      <c r="C68" s="12">
        <v>59.23</v>
      </c>
      <c r="D68" s="12">
        <v>0</v>
      </c>
      <c r="E68" s="12">
        <v>373.62</v>
      </c>
      <c r="F68" s="12">
        <v>819</v>
      </c>
      <c r="G68" s="12">
        <v>325.58999999999997</v>
      </c>
      <c r="I68">
        <v>563.19000000000005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55B8-57B6-D24A-978F-13C6FD84CAD8}">
  <dimension ref="A1:D14"/>
  <sheetViews>
    <sheetView zoomScale="200" zoomScaleNormal="200" workbookViewId="0">
      <selection activeCell="A14" sqref="A14:A16"/>
    </sheetView>
  </sheetViews>
  <sheetFormatPr baseColWidth="10" defaultColWidth="11" defaultRowHeight="16" x14ac:dyDescent="0.2"/>
  <cols>
    <col min="1" max="1" width="28.83203125" customWidth="1"/>
  </cols>
  <sheetData>
    <row r="1" spans="1:4" x14ac:dyDescent="0.2">
      <c r="A1" t="s">
        <v>16</v>
      </c>
      <c r="C1">
        <v>239</v>
      </c>
    </row>
    <row r="2" spans="1:4" x14ac:dyDescent="0.2">
      <c r="A2" t="s">
        <v>17</v>
      </c>
      <c r="C2">
        <v>376</v>
      </c>
      <c r="D2" s="15" t="s">
        <v>47</v>
      </c>
    </row>
    <row r="3" spans="1:4" x14ac:dyDescent="0.2">
      <c r="A3" t="s">
        <v>18</v>
      </c>
      <c r="D3" s="15" t="s">
        <v>48</v>
      </c>
    </row>
    <row r="4" spans="1:4" x14ac:dyDescent="0.2">
      <c r="A4" t="s">
        <v>19</v>
      </c>
      <c r="D4" s="15" t="s">
        <v>49</v>
      </c>
    </row>
    <row r="5" spans="1:4" x14ac:dyDescent="0.2">
      <c r="A5" t="s">
        <v>12</v>
      </c>
      <c r="C5">
        <v>372.41</v>
      </c>
      <c r="D5" s="15" t="s">
        <v>47</v>
      </c>
    </row>
    <row r="6" spans="1:4" x14ac:dyDescent="0.2">
      <c r="A6" t="s">
        <v>13</v>
      </c>
      <c r="C6">
        <v>573</v>
      </c>
      <c r="D6" s="15"/>
    </row>
    <row r="7" spans="1:4" x14ac:dyDescent="0.2">
      <c r="A7" t="s">
        <v>14</v>
      </c>
      <c r="D7" s="15" t="s">
        <v>48</v>
      </c>
    </row>
    <row r="8" spans="1:4" x14ac:dyDescent="0.2">
      <c r="A8" t="s">
        <v>15</v>
      </c>
      <c r="D8" s="15" t="s">
        <v>49</v>
      </c>
    </row>
    <row r="9" spans="1:4" x14ac:dyDescent="0.2">
      <c r="A9" s="2" t="s">
        <v>121</v>
      </c>
      <c r="C9">
        <v>58.3</v>
      </c>
      <c r="D9" s="15"/>
    </row>
    <row r="10" spans="1:4" x14ac:dyDescent="0.2">
      <c r="A10" t="s">
        <v>46</v>
      </c>
      <c r="C10">
        <v>34.5</v>
      </c>
      <c r="D10" s="15"/>
    </row>
    <row r="11" spans="1:4" x14ac:dyDescent="0.2">
      <c r="A11" s="2" t="s">
        <v>50</v>
      </c>
      <c r="C11">
        <v>35</v>
      </c>
      <c r="D11" s="15" t="s">
        <v>122</v>
      </c>
    </row>
    <row r="12" spans="1:4" x14ac:dyDescent="0.2">
      <c r="A12" s="2" t="s">
        <v>51</v>
      </c>
      <c r="C12">
        <v>16.5</v>
      </c>
      <c r="D12" s="15"/>
    </row>
    <row r="13" spans="1:4" x14ac:dyDescent="0.2">
      <c r="A13" s="2" t="s">
        <v>123</v>
      </c>
      <c r="C13">
        <v>10</v>
      </c>
      <c r="D13" s="15"/>
    </row>
    <row r="14" spans="1:4" x14ac:dyDescent="0.2">
      <c r="A14" s="27" t="s">
        <v>131</v>
      </c>
      <c r="C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9BAC-344B-754F-9445-1CAA7A22400E}">
  <dimension ref="A1:D4"/>
  <sheetViews>
    <sheetView zoomScale="120" zoomScaleNormal="120" workbookViewId="0">
      <selection activeCell="A4" sqref="A4"/>
    </sheetView>
  </sheetViews>
  <sheetFormatPr baseColWidth="10" defaultColWidth="11" defaultRowHeight="16" x14ac:dyDescent="0.2"/>
  <cols>
    <col min="1" max="1" width="19.33203125" bestFit="1" customWidth="1"/>
    <col min="2" max="3" width="18.5" bestFit="1" customWidth="1"/>
    <col min="4" max="4" width="19.6640625" bestFit="1" customWidth="1"/>
  </cols>
  <sheetData>
    <row r="1" spans="1:4" x14ac:dyDescent="0.2">
      <c r="A1" t="s">
        <v>7</v>
      </c>
      <c r="B1" t="s">
        <v>8</v>
      </c>
      <c r="C1" t="s">
        <v>9</v>
      </c>
      <c r="D1" t="s">
        <v>10</v>
      </c>
    </row>
    <row r="2" spans="1:4" x14ac:dyDescent="0.2">
      <c r="A2" t="s">
        <v>124</v>
      </c>
      <c r="B2" t="s">
        <v>125</v>
      </c>
      <c r="C2" t="s">
        <v>126</v>
      </c>
      <c r="D2" t="s">
        <v>127</v>
      </c>
    </row>
    <row r="3" spans="1:4" x14ac:dyDescent="0.2">
      <c r="A3" t="s">
        <v>45</v>
      </c>
    </row>
    <row r="4" spans="1:4" x14ac:dyDescent="0.2">
      <c r="A4" s="1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gas source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Abi-Rached, Habib (GE Vernova)</dc:creator>
  <cp:lastModifiedBy>Abi-Rached, Habib (GE Vernova)</cp:lastModifiedBy>
  <dcterms:created xsi:type="dcterms:W3CDTF">2026-10-01T15:57:56Z</dcterms:created>
  <dcterms:modified xsi:type="dcterms:W3CDTF">2026-10-08T18:16:16Z</dcterms:modified>
</cp:coreProperties>
</file>