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200021483/Downloads/"/>
    </mc:Choice>
  </mc:AlternateContent>
  <xr:revisionPtr revIDLastSave="0" documentId="13_ncr:1_{46C23EA6-DA8C-D744-B2CF-ADFDA67151BF}" xr6:coauthVersionLast="47" xr6:coauthVersionMax="47" xr10:uidLastSave="{00000000-0000-0000-0000-000000000000}"/>
  <bookViews>
    <workbookView xWindow="44200" yWindow="2260" windowWidth="36060" windowHeight="21000" xr2:uid="{A9C8EB64-FE29-45D4-BAF1-AAFFA5083DD0}"/>
  </bookViews>
  <sheets>
    <sheet name="FINAL" sheetId="1" r:id="rId1"/>
    <sheet name="Supply Stack" sheetId="7" r:id="rId2"/>
    <sheet name="Build_RE%" sheetId="4" r:id="rId3"/>
    <sheet name="Carbon Intensity" sheetId="2" r:id="rId4"/>
    <sheet name="SC Ratio" sheetId="3" r:id="rId5"/>
    <sheet name="LCOE" sheetId="6" r:id="rId6"/>
    <sheet name="RE Curtailment" sheetId="5" r:id="rId7"/>
  </sheets>
  <externalReferences>
    <externalReference r:id="rId8"/>
    <externalReference r:id="rId9"/>
  </externalReference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8" i="1" l="1"/>
  <c r="P27" i="1"/>
  <c r="N20" i="1"/>
  <c r="N14" i="1"/>
  <c r="O13" i="1"/>
  <c r="L28" i="1"/>
  <c r="L27" i="1"/>
  <c r="J20" i="1"/>
  <c r="I13" i="1"/>
  <c r="G8" i="1" s="1"/>
  <c r="G9" i="1"/>
  <c r="C26" i="1"/>
  <c r="D26" i="1" s="1"/>
  <c r="D28" i="1"/>
  <c r="D27" i="1"/>
  <c r="B118" i="1" l="1"/>
  <c r="E102" i="1"/>
  <c r="C98" i="1" s="1"/>
  <c r="C97" i="1" l="1"/>
  <c r="C95" i="1"/>
  <c r="C102" i="1"/>
  <c r="C100" i="1"/>
  <c r="C96" i="1"/>
  <c r="C101" i="1"/>
  <c r="C99" i="1"/>
  <c r="B104" i="1" s="1"/>
  <c r="B74" i="1"/>
  <c r="B103" i="1" l="1"/>
  <c r="C74" i="1"/>
  <c r="N53" i="1" l="1"/>
  <c r="L59" i="1" l="1"/>
  <c r="L60" i="1"/>
  <c r="D59" i="1"/>
  <c r="D60" i="1"/>
  <c r="N62" i="1"/>
  <c r="P60" i="1"/>
  <c r="P59" i="1"/>
  <c r="N58" i="1"/>
  <c r="G40" i="1"/>
  <c r="G41" i="1"/>
  <c r="G42" i="1"/>
  <c r="G43" i="1"/>
  <c r="G44" i="1"/>
  <c r="G45" i="1"/>
  <c r="G46" i="1"/>
  <c r="G39" i="1"/>
  <c r="H60" i="1" l="1"/>
  <c r="E46" i="1"/>
  <c r="C40" i="1" l="1"/>
  <c r="C41" i="1"/>
  <c r="C45" i="1"/>
  <c r="C42" i="1"/>
  <c r="C43" i="1"/>
  <c r="C46" i="1"/>
  <c r="C44" i="1"/>
  <c r="C39" i="1"/>
  <c r="B48" i="1" l="1"/>
  <c r="J62" i="1" l="1"/>
  <c r="F62" i="1"/>
  <c r="B62" i="1"/>
  <c r="Q46" i="1"/>
  <c r="M46" i="1"/>
  <c r="G6" i="1"/>
  <c r="G10" i="1"/>
  <c r="G11" i="1"/>
  <c r="G12" i="1"/>
  <c r="G13" i="1"/>
  <c r="G5" i="1"/>
  <c r="K45" i="1" l="1"/>
  <c r="K40" i="1"/>
  <c r="K43" i="1"/>
  <c r="K44" i="1"/>
  <c r="K46" i="1"/>
  <c r="K41" i="1"/>
  <c r="K39" i="1"/>
  <c r="K42" i="1"/>
  <c r="O40" i="1"/>
  <c r="O41" i="1"/>
  <c r="O44" i="1"/>
  <c r="O42" i="1"/>
  <c r="O45" i="1"/>
  <c r="O43" i="1"/>
  <c r="O46" i="1"/>
  <c r="O39" i="1"/>
  <c r="G47" i="1"/>
  <c r="F48" i="1"/>
  <c r="C47" i="1"/>
  <c r="F14" i="1"/>
  <c r="E30" i="1" l="1"/>
  <c r="C6" i="1"/>
  <c r="C8" i="1"/>
  <c r="C10" i="1"/>
  <c r="C11" i="1"/>
  <c r="AB4" i="1" s="1"/>
  <c r="C12" i="1"/>
  <c r="AD4" i="1" s="1"/>
  <c r="C13" i="1"/>
  <c r="C5" i="1"/>
  <c r="AA5" i="1" l="1"/>
  <c r="AA4" i="1"/>
  <c r="AA6" i="1"/>
  <c r="AA7" i="1"/>
  <c r="B14" i="1"/>
  <c r="AC4" i="1"/>
  <c r="AE4" i="1" s="1"/>
  <c r="Q13" i="1" l="1"/>
  <c r="M13" i="1"/>
  <c r="E25" i="5" l="1"/>
  <c r="D25" i="5"/>
  <c r="E22" i="5"/>
  <c r="D22" i="5"/>
  <c r="E19" i="5"/>
  <c r="E16" i="5"/>
  <c r="D16" i="5"/>
  <c r="P5" i="5"/>
  <c r="L5" i="5"/>
  <c r="H5" i="5"/>
  <c r="D5" i="5"/>
  <c r="P4" i="5"/>
  <c r="L4" i="5"/>
  <c r="D4" i="5"/>
  <c r="Q30" i="1"/>
  <c r="M30" i="1"/>
  <c r="I30" i="1"/>
  <c r="AE5" i="1"/>
  <c r="H28" i="1"/>
  <c r="O12" i="1"/>
  <c r="AD7" i="1" s="1"/>
  <c r="K12" i="1"/>
  <c r="AD6" i="1" s="1"/>
  <c r="O11" i="1"/>
  <c r="AB7" i="1" s="1"/>
  <c r="K11" i="1"/>
  <c r="AB6" i="1" s="1"/>
  <c r="O10" i="1"/>
  <c r="AC7" i="1" s="1"/>
  <c r="K10" i="1"/>
  <c r="AC6" i="1" s="1"/>
  <c r="K8" i="1"/>
  <c r="O6" i="1"/>
  <c r="K6" i="1"/>
  <c r="O5" i="1"/>
  <c r="Z7" i="1" s="1"/>
  <c r="K5" i="1"/>
  <c r="Z5" i="1"/>
  <c r="Z4" i="1"/>
  <c r="K47" i="1" l="1"/>
  <c r="J48" i="1"/>
  <c r="O47" i="1"/>
  <c r="N48" i="1"/>
  <c r="AE7" i="1"/>
  <c r="AE6" i="1"/>
  <c r="J14" i="1"/>
  <c r="Z6" i="1"/>
  <c r="J15" i="1"/>
  <c r="N15" i="1"/>
  <c r="B15" i="1"/>
  <c r="F15" i="1"/>
  <c r="D114" i="1"/>
  <c r="B116" i="1"/>
  <c r="B87" i="1"/>
  <c r="B88" i="1"/>
  <c r="B115" i="1"/>
</calcChain>
</file>

<file path=xl/sharedStrings.xml><?xml version="1.0" encoding="utf-8"?>
<sst xmlns="http://schemas.openxmlformats.org/spreadsheetml/2006/main" count="299" uniqueCount="79">
  <si>
    <t>High Solar High Wind ( TX)</t>
  </si>
  <si>
    <t>High Solar Low Wind ( AZ)</t>
  </si>
  <si>
    <t>Low Solar High Wind ( ID)</t>
  </si>
  <si>
    <t>Low Solar Low Wind ( PA)</t>
  </si>
  <si>
    <t>Builds</t>
  </si>
  <si>
    <t>Units</t>
  </si>
  <si>
    <t>MW %</t>
  </si>
  <si>
    <t>MWs</t>
  </si>
  <si>
    <t>MW By  %</t>
  </si>
  <si>
    <t>CC—single-shaft</t>
  </si>
  <si>
    <t>CT—industrial frame</t>
  </si>
  <si>
    <t>CT_35MW</t>
  </si>
  <si>
    <t>CT_16MW</t>
  </si>
  <si>
    <t>Wind</t>
  </si>
  <si>
    <t>Solar PV with tracking</t>
  </si>
  <si>
    <t>Battery storage</t>
  </si>
  <si>
    <t>Total</t>
  </si>
  <si>
    <t>Renewables % By Capacity</t>
  </si>
  <si>
    <t>CFE % ( Energy)</t>
  </si>
  <si>
    <t xml:space="preserve">Carbon Intensity </t>
  </si>
  <si>
    <t>LCOE to serve Data Center Load</t>
  </si>
  <si>
    <t>LCOE_Including Battery loads</t>
  </si>
  <si>
    <t xml:space="preserve">Total Curtailment </t>
  </si>
  <si>
    <t xml:space="preserve">Wind </t>
  </si>
  <si>
    <t xml:space="preserve">Solar </t>
  </si>
  <si>
    <t>?</t>
  </si>
  <si>
    <t xml:space="preserve">Realibility </t>
  </si>
  <si>
    <t>EUE ( GWh)</t>
  </si>
  <si>
    <t>EUE hours</t>
  </si>
  <si>
    <t>? 61</t>
  </si>
  <si>
    <t xml:space="preserve">? </t>
  </si>
  <si>
    <t>CF</t>
  </si>
  <si>
    <t>GWh</t>
  </si>
  <si>
    <t>%</t>
  </si>
  <si>
    <t>GWh_Curtailed</t>
  </si>
  <si>
    <t>GWH_Produced</t>
  </si>
  <si>
    <t>GWh_Produced</t>
  </si>
  <si>
    <t>Total Generation Energy GWh</t>
  </si>
  <si>
    <t>Scenario Profile</t>
  </si>
  <si>
    <t>CC-Single Shaft</t>
  </si>
  <si>
    <t>Solar PV</t>
  </si>
  <si>
    <t>Battery</t>
  </si>
  <si>
    <t>High Solar / High Wind</t>
  </si>
  <si>
    <t>High Solar / Low Wind</t>
  </si>
  <si>
    <t>Low Solar / High Wind</t>
  </si>
  <si>
    <t>Low Solar / Low Wind</t>
  </si>
  <si>
    <t>CT-Industrial, 35MW, 16 MW</t>
  </si>
  <si>
    <t>RE %</t>
  </si>
  <si>
    <t>Carbon Intensity Lb/MWh</t>
  </si>
  <si>
    <t>High Solar High Wind (TX)</t>
  </si>
  <si>
    <t>High Solar Low Wind (AZ)</t>
  </si>
  <si>
    <t>Low Solar High Wind (ID)</t>
  </si>
  <si>
    <t>Low Solar Low Wind (PA)</t>
  </si>
  <si>
    <t xml:space="preserve">Non Renewables </t>
  </si>
  <si>
    <t>Thermal Capacity</t>
  </si>
  <si>
    <t>Carbon Free Energy CFE%</t>
  </si>
  <si>
    <t>Carbon Intensity lb/MWh</t>
  </si>
  <si>
    <t xml:space="preserve">Overall System Reliability % </t>
  </si>
  <si>
    <t>% Curtailed</t>
  </si>
  <si>
    <t>SC Ratio</t>
  </si>
  <si>
    <t>Total System w/ BESS Load</t>
  </si>
  <si>
    <t>Total System w/o BESS Load</t>
  </si>
  <si>
    <t>Thermal Only</t>
  </si>
  <si>
    <t>Total System for DC load ( 75% system )</t>
  </si>
  <si>
    <t>Low Solar
Low Wind 
(PA)</t>
  </si>
  <si>
    <t>Low Solar High Wind
 (ID)</t>
  </si>
  <si>
    <t>High Solar 
Low Wind 
(AZ)</t>
  </si>
  <si>
    <t>High Solar High Wind
(TX)</t>
  </si>
  <si>
    <t>LCOE  $/MWh</t>
  </si>
  <si>
    <t>CF %</t>
  </si>
  <si>
    <t xml:space="preserve">RE target - 70% of more </t>
  </si>
  <si>
    <t xml:space="preserve">RE target -80% of more </t>
  </si>
  <si>
    <t xml:space="preserve"> Scenarios</t>
  </si>
  <si>
    <t>100% RE - HSHW-TX</t>
  </si>
  <si>
    <t>70%RE with 6 hrs BESS</t>
  </si>
  <si>
    <t>Battery storage- 6 Hrs</t>
  </si>
  <si>
    <t>IC</t>
  </si>
  <si>
    <t>GWh_curtailment</t>
  </si>
  <si>
    <t>SC Ratio Threshold &gt;1.26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</si>
</sst>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-* #,##0.00_-;\-* #,##0.00_-;_-* &quot;-&quot;??_-;_-@_-"/>
    <numFmt numFmtId="165" formatCode="0.0%"/>
    <numFmt numFmtId="166" formatCode="0.000%"/>
    <numFmt numFmtId="167" formatCode="0.0000%"/>
    <numFmt numFmtId="168" formatCode="0.0"/>
    <numFmt numFmtId="169" formatCode="_-* #,##0_-;\-* #,##0_-;_-* &quot;-&quot;??_-;_-@_-"/>
    <numFmt numFmtId="170" formatCode="0.00000"/>
  </numFmts>
  <fonts count="17">
    <font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005E60"/>
      <name val="Inter"/>
      <family val="2"/>
    </font>
    <font>
      <b/>
      <sz val="11"/>
      <color rgb="FF005E60"/>
      <name val="Inter"/>
      <family val="2"/>
    </font>
    <font>
      <sz val="11"/>
      <color rgb="FF005E60"/>
      <name val="Inter"/>
      <family val="2"/>
    </font>
    <font>
      <sz val="11"/>
      <color rgb="FFFF0000"/>
      <name val="Calibri"/>
      <family val="2"/>
    </font>
    <font>
      <b/>
      <sz val="11"/>
      <color rgb="FFFF0000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color rgb="FFFFC000"/>
      <name val="Calibri"/>
      <family val="2"/>
    </font>
    <font>
      <sz val="11"/>
      <color rgb="FFFFC000"/>
      <name val="Inter"/>
      <family val="2"/>
    </font>
    <font>
      <b/>
      <sz val="14"/>
      <color theme="4"/>
      <name val="Calibri"/>
      <family val="2"/>
    </font>
    <font>
      <sz val="11"/>
      <color theme="5"/>
      <name val="Calibri"/>
      <family val="2"/>
    </font>
    <font>
      <b/>
      <sz val="11"/>
      <color theme="5"/>
      <name val="Calibri"/>
      <family val="2"/>
    </font>
    <font>
      <b/>
      <sz val="11"/>
      <color rgb="FF0070C0"/>
      <name val="Calibri"/>
      <family val="2"/>
    </font>
    <font>
      <sz val="12"/>
      <color rgb="FF9C0006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EBF2F4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7CE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DBDDDD"/>
      </left>
      <right style="medium">
        <color rgb="FFDBDDDD"/>
      </right>
      <top style="medium">
        <color rgb="FFDBDDDD"/>
      </top>
      <bottom style="medium">
        <color rgb="FFDBDDDD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6" fillId="8" borderId="0" applyNumberFormat="0" applyBorder="0" applyAlignment="0" applyProtection="0"/>
  </cellStyleXfs>
  <cellXfs count="174">
    <xf numFmtId="0" fontId="0" fillId="0" borderId="0" xfId="0"/>
    <xf numFmtId="0" fontId="2" fillId="0" borderId="1" xfId="0" applyFont="1" applyBorder="1"/>
    <xf numFmtId="0" fontId="0" fillId="0" borderId="1" xfId="0" applyBorder="1"/>
    <xf numFmtId="9" fontId="0" fillId="0" borderId="1" xfId="1" applyFont="1" applyBorder="1"/>
    <xf numFmtId="1" fontId="0" fillId="0" borderId="1" xfId="0" applyNumberFormat="1" applyBorder="1"/>
    <xf numFmtId="1" fontId="2" fillId="0" borderId="1" xfId="0" applyNumberFormat="1" applyFont="1" applyBorder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3" fillId="2" borderId="7" xfId="0" applyFont="1" applyFill="1" applyBorder="1" applyAlignment="1">
      <alignment horizontal="left" vertical="center" wrapText="1"/>
    </xf>
    <xf numFmtId="0" fontId="4" fillId="2" borderId="7" xfId="0" applyFont="1" applyFill="1" applyBorder="1" applyAlignment="1">
      <alignment horizontal="left" vertical="center" wrapText="1"/>
    </xf>
    <xf numFmtId="9" fontId="5" fillId="2" borderId="7" xfId="0" applyNumberFormat="1" applyFont="1" applyFill="1" applyBorder="1" applyAlignment="1">
      <alignment horizontal="left" vertical="center" wrapText="1"/>
    </xf>
    <xf numFmtId="0" fontId="2" fillId="0" borderId="2" xfId="0" applyFont="1" applyBorder="1"/>
    <xf numFmtId="1" fontId="2" fillId="0" borderId="3" xfId="0" applyNumberFormat="1" applyFont="1" applyBorder="1"/>
    <xf numFmtId="1" fontId="2" fillId="0" borderId="4" xfId="0" applyNumberFormat="1" applyFont="1" applyBorder="1"/>
    <xf numFmtId="9" fontId="2" fillId="0" borderId="4" xfId="1" applyFont="1" applyBorder="1"/>
    <xf numFmtId="9" fontId="0" fillId="0" borderId="0" xfId="1" applyFont="1"/>
    <xf numFmtId="10" fontId="0" fillId="0" borderId="0" xfId="1" applyNumberFormat="1" applyFont="1"/>
    <xf numFmtId="166" fontId="0" fillId="0" borderId="0" xfId="1" applyNumberFormat="1" applyFont="1"/>
    <xf numFmtId="0" fontId="2" fillId="0" borderId="0" xfId="0" applyFont="1"/>
    <xf numFmtId="167" fontId="0" fillId="0" borderId="0" xfId="1" applyNumberFormat="1" applyFont="1"/>
    <xf numFmtId="0" fontId="2" fillId="0" borderId="1" xfId="0" applyFont="1" applyBorder="1" applyAlignment="1">
      <alignment horizontal="right"/>
    </xf>
    <xf numFmtId="2" fontId="0" fillId="0" borderId="0" xfId="0" applyNumberFormat="1"/>
    <xf numFmtId="1" fontId="0" fillId="0" borderId="0" xfId="1" applyNumberFormat="1" applyFont="1"/>
    <xf numFmtId="1" fontId="0" fillId="0" borderId="0" xfId="0" applyNumberFormat="1"/>
    <xf numFmtId="0" fontId="0" fillId="0" borderId="1" xfId="0" applyBorder="1" applyAlignment="1">
      <alignment horizontal="center" wrapText="1"/>
    </xf>
    <xf numFmtId="0" fontId="0" fillId="0" borderId="1" xfId="0" quotePrefix="1" applyBorder="1" applyAlignment="1">
      <alignment horizontal="center"/>
    </xf>
    <xf numFmtId="0" fontId="6" fillId="0" borderId="1" xfId="0" applyFont="1" applyBorder="1"/>
    <xf numFmtId="0" fontId="0" fillId="0" borderId="9" xfId="0" applyBorder="1"/>
    <xf numFmtId="0" fontId="6" fillId="0" borderId="0" xfId="0" applyFont="1"/>
    <xf numFmtId="2" fontId="6" fillId="0" borderId="0" xfId="0" applyNumberFormat="1" applyFont="1"/>
    <xf numFmtId="1" fontId="6" fillId="0" borderId="1" xfId="1" applyNumberFormat="1" applyFont="1" applyBorder="1" applyAlignment="1">
      <alignment horizontal="center"/>
    </xf>
    <xf numFmtId="1" fontId="6" fillId="0" borderId="1" xfId="0" applyNumberFormat="1" applyFont="1" applyBorder="1" applyAlignment="1">
      <alignment horizontal="center"/>
    </xf>
    <xf numFmtId="1" fontId="6" fillId="0" borderId="1" xfId="0" applyNumberFormat="1" applyFont="1" applyBorder="1"/>
    <xf numFmtId="10" fontId="6" fillId="0" borderId="1" xfId="1" applyNumberFormat="1" applyFont="1" applyBorder="1" applyAlignment="1"/>
    <xf numFmtId="165" fontId="6" fillId="0" borderId="1" xfId="1" applyNumberFormat="1" applyFont="1" applyBorder="1" applyAlignment="1"/>
    <xf numFmtId="0" fontId="8" fillId="0" borderId="1" xfId="0" applyFont="1" applyBorder="1"/>
    <xf numFmtId="9" fontId="8" fillId="0" borderId="1" xfId="1" applyFont="1" applyBorder="1"/>
    <xf numFmtId="0" fontId="8" fillId="3" borderId="1" xfId="0" applyFont="1" applyFill="1" applyBorder="1"/>
    <xf numFmtId="1" fontId="8" fillId="0" borderId="1" xfId="0" applyNumberFormat="1" applyFont="1" applyBorder="1"/>
    <xf numFmtId="1" fontId="8" fillId="3" borderId="1" xfId="0" applyNumberFormat="1" applyFont="1" applyFill="1" applyBorder="1"/>
    <xf numFmtId="1" fontId="9" fillId="0" borderId="1" xfId="0" applyNumberFormat="1" applyFont="1" applyBorder="1"/>
    <xf numFmtId="1" fontId="9" fillId="3" borderId="1" xfId="0" applyNumberFormat="1" applyFont="1" applyFill="1" applyBorder="1"/>
    <xf numFmtId="1" fontId="8" fillId="5" borderId="1" xfId="0" applyNumberFormat="1" applyFont="1" applyFill="1" applyBorder="1"/>
    <xf numFmtId="0" fontId="10" fillId="0" borderId="1" xfId="0" applyFont="1" applyBorder="1"/>
    <xf numFmtId="1" fontId="10" fillId="0" borderId="1" xfId="0" applyNumberFormat="1" applyFont="1" applyBorder="1"/>
    <xf numFmtId="0" fontId="10" fillId="0" borderId="0" xfId="0" applyFont="1"/>
    <xf numFmtId="9" fontId="11" fillId="2" borderId="7" xfId="0" applyNumberFormat="1" applyFont="1" applyFill="1" applyBorder="1" applyAlignment="1">
      <alignment horizontal="left" vertical="center" wrapText="1"/>
    </xf>
    <xf numFmtId="1" fontId="8" fillId="0" borderId="1" xfId="1" applyNumberFormat="1" applyFont="1" applyBorder="1" applyAlignment="1">
      <alignment horizontal="center"/>
    </xf>
    <xf numFmtId="0" fontId="8" fillId="0" borderId="0" xfId="0" applyFont="1"/>
    <xf numFmtId="164" fontId="0" fillId="0" borderId="0" xfId="2" applyFont="1"/>
    <xf numFmtId="0" fontId="8" fillId="4" borderId="1" xfId="0" applyFont="1" applyFill="1" applyBorder="1"/>
    <xf numFmtId="1" fontId="8" fillId="4" borderId="1" xfId="0" applyNumberFormat="1" applyFont="1" applyFill="1" applyBorder="1"/>
    <xf numFmtId="1" fontId="9" fillId="4" borderId="1" xfId="0" applyNumberFormat="1" applyFont="1" applyFill="1" applyBorder="1"/>
    <xf numFmtId="2" fontId="8" fillId="0" borderId="1" xfId="0" applyNumberFormat="1" applyFont="1" applyBorder="1"/>
    <xf numFmtId="9" fontId="9" fillId="0" borderId="4" xfId="1" applyFont="1" applyBorder="1"/>
    <xf numFmtId="0" fontId="9" fillId="0" borderId="1" xfId="0" applyFont="1" applyBorder="1"/>
    <xf numFmtId="1" fontId="13" fillId="0" borderId="1" xfId="0" applyNumberFormat="1" applyFont="1" applyBorder="1"/>
    <xf numFmtId="1" fontId="14" fillId="0" borderId="1" xfId="0" applyNumberFormat="1" applyFont="1" applyBorder="1"/>
    <xf numFmtId="164" fontId="8" fillId="0" borderId="1" xfId="0" applyNumberFormat="1" applyFont="1" applyBorder="1"/>
    <xf numFmtId="164" fontId="8" fillId="0" borderId="0" xfId="2" applyFont="1"/>
    <xf numFmtId="4" fontId="0" fillId="0" borderId="0" xfId="0" applyNumberFormat="1"/>
    <xf numFmtId="169" fontId="8" fillId="0" borderId="1" xfId="0" applyNumberFormat="1" applyFont="1" applyBorder="1"/>
    <xf numFmtId="168" fontId="8" fillId="5" borderId="1" xfId="0" applyNumberFormat="1" applyFont="1" applyFill="1" applyBorder="1"/>
    <xf numFmtId="0" fontId="2" fillId="0" borderId="11" xfId="0" applyFont="1" applyBorder="1"/>
    <xf numFmtId="0" fontId="2" fillId="0" borderId="14" xfId="0" applyFont="1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2" fillId="0" borderId="16" xfId="0" applyFont="1" applyBorder="1"/>
    <xf numFmtId="0" fontId="2" fillId="0" borderId="18" xfId="0" applyFont="1" applyBorder="1"/>
    <xf numFmtId="9" fontId="2" fillId="0" borderId="19" xfId="1" applyFont="1" applyBorder="1"/>
    <xf numFmtId="0" fontId="0" fillId="0" borderId="20" xfId="0" applyBorder="1"/>
    <xf numFmtId="0" fontId="0" fillId="0" borderId="20" xfId="0" applyBorder="1" applyAlignment="1">
      <alignment horizontal="right"/>
    </xf>
    <xf numFmtId="169" fontId="0" fillId="0" borderId="0" xfId="2" applyNumberFormat="1" applyFont="1" applyBorder="1"/>
    <xf numFmtId="0" fontId="0" fillId="0" borderId="22" xfId="0" applyBorder="1"/>
    <xf numFmtId="0" fontId="15" fillId="7" borderId="0" xfId="0" applyFont="1" applyFill="1"/>
    <xf numFmtId="0" fontId="15" fillId="7" borderId="1" xfId="0" applyFont="1" applyFill="1" applyBorder="1"/>
    <xf numFmtId="1" fontId="9" fillId="5" borderId="1" xfId="0" applyNumberFormat="1" applyFont="1" applyFill="1" applyBorder="1"/>
    <xf numFmtId="0" fontId="0" fillId="0" borderId="6" xfId="0" applyBorder="1"/>
    <xf numFmtId="165" fontId="8" fillId="0" borderId="1" xfId="1" applyNumberFormat="1" applyFont="1" applyBorder="1"/>
    <xf numFmtId="9" fontId="9" fillId="0" borderId="1" xfId="0" applyNumberFormat="1" applyFont="1" applyBorder="1"/>
    <xf numFmtId="10" fontId="8" fillId="0" borderId="1" xfId="1" applyNumberFormat="1" applyFont="1" applyBorder="1"/>
    <xf numFmtId="0" fontId="0" fillId="0" borderId="8" xfId="0" applyBorder="1" applyAlignment="1">
      <alignment horizontal="center"/>
    </xf>
    <xf numFmtId="0" fontId="0" fillId="0" borderId="6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10" fontId="8" fillId="0" borderId="5" xfId="1" applyNumberFormat="1" applyFont="1" applyBorder="1" applyAlignment="1">
      <alignment horizontal="center"/>
    </xf>
    <xf numFmtId="10" fontId="8" fillId="0" borderId="6" xfId="1" applyNumberFormat="1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0" fillId="0" borderId="6" xfId="0" applyFont="1" applyBorder="1" applyAlignment="1">
      <alignment horizontal="center"/>
    </xf>
    <xf numFmtId="165" fontId="8" fillId="0" borderId="5" xfId="1" applyNumberFormat="1" applyFont="1" applyBorder="1" applyAlignment="1">
      <alignment horizontal="center"/>
    </xf>
    <xf numFmtId="165" fontId="8" fillId="0" borderId="6" xfId="1" applyNumberFormat="1" applyFont="1" applyBorder="1" applyAlignment="1">
      <alignment horizontal="center"/>
    </xf>
    <xf numFmtId="10" fontId="9" fillId="0" borderId="5" xfId="1" applyNumberFormat="1" applyFont="1" applyBorder="1" applyAlignment="1">
      <alignment horizontal="center"/>
    </xf>
    <xf numFmtId="10" fontId="9" fillId="0" borderId="6" xfId="1" applyNumberFormat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9" fontId="8" fillId="0" borderId="1" xfId="0" applyNumberFormat="1" applyFont="1" applyBorder="1" applyAlignment="1">
      <alignment horizontal="center"/>
    </xf>
    <xf numFmtId="9" fontId="0" fillId="0" borderId="1" xfId="0" applyNumberForma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9" fontId="0" fillId="0" borderId="1" xfId="1" applyFont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9" fontId="0" fillId="0" borderId="6" xfId="0" applyNumberForma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9" fontId="0" fillId="0" borderId="5" xfId="0" applyNumberFormat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1" fontId="0" fillId="0" borderId="6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0" fontId="8" fillId="0" borderId="8" xfId="0" applyNumberFormat="1" applyFont="1" applyBorder="1" applyAlignment="1">
      <alignment horizontal="center"/>
    </xf>
    <xf numFmtId="10" fontId="8" fillId="0" borderId="6" xfId="0" applyNumberFormat="1" applyFont="1" applyBorder="1" applyAlignment="1">
      <alignment horizontal="center"/>
    </xf>
    <xf numFmtId="0" fontId="12" fillId="4" borderId="0" xfId="0" applyFont="1" applyFill="1" applyAlignment="1">
      <alignment horizontal="center"/>
    </xf>
    <xf numFmtId="0" fontId="12" fillId="4" borderId="10" xfId="0" applyFont="1" applyFill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9" fontId="2" fillId="0" borderId="1" xfId="1" applyFont="1" applyBorder="1" applyAlignment="1">
      <alignment horizontal="center" vertical="center"/>
    </xf>
    <xf numFmtId="9" fontId="9" fillId="0" borderId="8" xfId="1" applyFont="1" applyBorder="1" applyAlignment="1">
      <alignment horizontal="center"/>
    </xf>
    <xf numFmtId="9" fontId="2" fillId="0" borderId="1" xfId="1" applyFont="1" applyBorder="1" applyAlignment="1">
      <alignment horizontal="center"/>
    </xf>
    <xf numFmtId="9" fontId="2" fillId="0" borderId="8" xfId="1" applyFont="1" applyBorder="1" applyAlignment="1">
      <alignment horizontal="center"/>
    </xf>
    <xf numFmtId="10" fontId="10" fillId="0" borderId="5" xfId="1" applyNumberFormat="1" applyFont="1" applyBorder="1" applyAlignment="1">
      <alignment horizontal="center"/>
    </xf>
    <xf numFmtId="10" fontId="10" fillId="0" borderId="6" xfId="1" applyNumberFormat="1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10" fontId="8" fillId="0" borderId="1" xfId="1" applyNumberFormat="1" applyFont="1" applyBorder="1" applyAlignment="1">
      <alignment horizontal="center"/>
    </xf>
    <xf numFmtId="10" fontId="8" fillId="0" borderId="5" xfId="0" applyNumberFormat="1" applyFont="1" applyBorder="1" applyAlignment="1">
      <alignment horizontal="center"/>
    </xf>
    <xf numFmtId="0" fontId="0" fillId="0" borderId="21" xfId="0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12" fillId="6" borderId="0" xfId="0" applyFont="1" applyFill="1" applyAlignment="1">
      <alignment horizontal="center"/>
    </xf>
    <xf numFmtId="0" fontId="12" fillId="6" borderId="10" xfId="0" applyFont="1" applyFill="1" applyBorder="1" applyAlignment="1">
      <alignment horizontal="center"/>
    </xf>
    <xf numFmtId="9" fontId="1" fillId="0" borderId="5" xfId="1" applyFont="1" applyBorder="1" applyAlignment="1">
      <alignment horizontal="center"/>
    </xf>
    <xf numFmtId="9" fontId="1" fillId="0" borderId="6" xfId="1" applyFont="1" applyBorder="1" applyAlignment="1">
      <alignment horizontal="center"/>
    </xf>
    <xf numFmtId="9" fontId="2" fillId="0" borderId="1" xfId="0" applyNumberFormat="1" applyFont="1" applyBorder="1" applyAlignment="1">
      <alignment horizontal="center"/>
    </xf>
    <xf numFmtId="9" fontId="2" fillId="0" borderId="5" xfId="1" applyFont="1" applyBorder="1" applyAlignment="1">
      <alignment horizontal="center"/>
    </xf>
    <xf numFmtId="9" fontId="2" fillId="0" borderId="6" xfId="1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1" fontId="8" fillId="3" borderId="5" xfId="0" applyNumberFormat="1" applyFont="1" applyFill="1" applyBorder="1" applyAlignment="1">
      <alignment horizontal="center"/>
    </xf>
    <xf numFmtId="1" fontId="8" fillId="3" borderId="6" xfId="0" applyNumberFormat="1" applyFont="1" applyFill="1" applyBorder="1" applyAlignment="1">
      <alignment horizontal="center"/>
    </xf>
    <xf numFmtId="1" fontId="9" fillId="3" borderId="5" xfId="0" applyNumberFormat="1" applyFont="1" applyFill="1" applyBorder="1" applyAlignment="1">
      <alignment horizontal="center"/>
    </xf>
    <xf numFmtId="1" fontId="9" fillId="3" borderId="6" xfId="0" applyNumberFormat="1" applyFont="1" applyFill="1" applyBorder="1" applyAlignment="1">
      <alignment horizontal="center"/>
    </xf>
    <xf numFmtId="9" fontId="7" fillId="0" borderId="5" xfId="0" applyNumberFormat="1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10" fontId="8" fillId="0" borderId="21" xfId="1" applyNumberFormat="1" applyFont="1" applyBorder="1" applyAlignment="1">
      <alignment horizontal="center"/>
    </xf>
    <xf numFmtId="0" fontId="7" fillId="0" borderId="23" xfId="0" applyFont="1" applyBorder="1" applyAlignment="1">
      <alignment horizontal="center"/>
    </xf>
    <xf numFmtId="0" fontId="7" fillId="0" borderId="24" xfId="0" applyFont="1" applyBorder="1" applyAlignment="1">
      <alignment horizontal="center"/>
    </xf>
    <xf numFmtId="0" fontId="7" fillId="0" borderId="25" xfId="0" applyFont="1" applyBorder="1" applyAlignment="1">
      <alignment horizontal="center"/>
    </xf>
    <xf numFmtId="9" fontId="9" fillId="0" borderId="5" xfId="0" applyNumberFormat="1" applyFont="1" applyBorder="1" applyAlignment="1">
      <alignment horizontal="center"/>
    </xf>
    <xf numFmtId="0" fontId="9" fillId="0" borderId="21" xfId="0" applyFont="1" applyBorder="1" applyAlignment="1">
      <alignment horizontal="center"/>
    </xf>
    <xf numFmtId="170" fontId="7" fillId="0" borderId="23" xfId="0" applyNumberFormat="1" applyFont="1" applyBorder="1" applyAlignment="1">
      <alignment horizontal="center"/>
    </xf>
    <xf numFmtId="170" fontId="7" fillId="0" borderId="24" xfId="0" applyNumberFormat="1" applyFont="1" applyBorder="1" applyAlignment="1">
      <alignment horizontal="center"/>
    </xf>
    <xf numFmtId="170" fontId="7" fillId="0" borderId="25" xfId="0" applyNumberFormat="1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8" fillId="0" borderId="1" xfId="0" applyFont="1" applyBorder="1" applyAlignment="1">
      <alignment horizontal="center" wrapText="1"/>
    </xf>
    <xf numFmtId="0" fontId="7" fillId="0" borderId="1" xfId="0" applyFont="1" applyBorder="1" applyAlignment="1">
      <alignment horizontal="center"/>
    </xf>
    <xf numFmtId="10" fontId="6" fillId="0" borderId="5" xfId="1" applyNumberFormat="1" applyFont="1" applyBorder="1" applyAlignment="1">
      <alignment horizontal="center"/>
    </xf>
    <xf numFmtId="10" fontId="6" fillId="0" borderId="6" xfId="1" applyNumberFormat="1" applyFont="1" applyBorder="1" applyAlignment="1">
      <alignment horizontal="center"/>
    </xf>
    <xf numFmtId="10" fontId="6" fillId="0" borderId="1" xfId="1" applyNumberFormat="1" applyFont="1" applyBorder="1" applyAlignment="1">
      <alignment horizontal="center"/>
    </xf>
    <xf numFmtId="165" fontId="6" fillId="0" borderId="5" xfId="1" applyNumberFormat="1" applyFont="1" applyBorder="1" applyAlignment="1">
      <alignment horizontal="center"/>
    </xf>
    <xf numFmtId="165" fontId="6" fillId="0" borderId="6" xfId="1" applyNumberFormat="1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9" fontId="16" fillId="8" borderId="1" xfId="3" applyNumberFormat="1" applyBorder="1" applyAlignment="1">
      <alignment horizontal="center" vertical="center"/>
    </xf>
    <xf numFmtId="10" fontId="16" fillId="8" borderId="6" xfId="3" applyNumberFormat="1" applyBorder="1" applyAlignment="1">
      <alignment horizontal="center"/>
    </xf>
    <xf numFmtId="10" fontId="16" fillId="8" borderId="1" xfId="3" applyNumberFormat="1" applyBorder="1" applyAlignment="1">
      <alignment horizontal="center"/>
    </xf>
    <xf numFmtId="10" fontId="16" fillId="8" borderId="5" xfId="3" applyNumberFormat="1" applyBorder="1" applyAlignment="1">
      <alignment horizontal="center"/>
    </xf>
    <xf numFmtId="9" fontId="16" fillId="8" borderId="1" xfId="3" applyNumberFormat="1" applyBorder="1" applyAlignment="1">
      <alignment horizontal="center"/>
    </xf>
    <xf numFmtId="9" fontId="16" fillId="8" borderId="6" xfId="3" applyNumberFormat="1" applyBorder="1" applyAlignment="1">
      <alignment horizontal="center"/>
    </xf>
    <xf numFmtId="9" fontId="16" fillId="8" borderId="5" xfId="3" applyNumberFormat="1" applyBorder="1" applyAlignment="1">
      <alignment horizontal="center"/>
    </xf>
    <xf numFmtId="166" fontId="16" fillId="8" borderId="1" xfId="3" applyNumberFormat="1" applyBorder="1" applyAlignment="1">
      <alignment horizontal="center"/>
    </xf>
    <xf numFmtId="10" fontId="16" fillId="8" borderId="8" xfId="3" applyNumberFormat="1" applyBorder="1" applyAlignment="1">
      <alignment horizontal="center"/>
    </xf>
    <xf numFmtId="0" fontId="16" fillId="8" borderId="1" xfId="3" applyBorder="1" applyAlignment="1">
      <alignment horizontal="center"/>
    </xf>
  </cellXfs>
  <cellStyles count="4">
    <cellStyle name="Bad" xfId="3" builtinId="27"/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supply MIX by Tech Type </a:t>
            </a:r>
          </a:p>
          <a:p>
            <a:pPr>
              <a:defRPr/>
            </a:pPr>
            <a:r>
              <a:rPr lang="en-US"/>
              <a:t>in Percentage</a:t>
            </a:r>
          </a:p>
        </c:rich>
      </c:tx>
      <c:layout>
        <c:manualLayout>
          <c:xMode val="edge"/>
          <c:yMode val="edge"/>
          <c:x val="0.27214420889582636"/>
          <c:y val="1.517363295722636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FINAL!$Z$3</c:f>
              <c:strCache>
                <c:ptCount val="1"/>
                <c:pt idx="0">
                  <c:v>CC-Single Shaft</c:v>
                </c:pt>
              </c:strCache>
            </c:strRef>
          </c:tx>
          <c:spPr>
            <a:solidFill>
              <a:schemeClr val="tx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FINAL!$Y$4:$Y$7</c:f>
              <c:strCache>
                <c:ptCount val="4"/>
                <c:pt idx="0">
                  <c:v>High Solar / High Wind</c:v>
                </c:pt>
                <c:pt idx="1">
                  <c:v>High Solar / Low Wind</c:v>
                </c:pt>
                <c:pt idx="2">
                  <c:v>Low Solar / High Wind</c:v>
                </c:pt>
                <c:pt idx="3">
                  <c:v>Low Solar / Low Wind</c:v>
                </c:pt>
              </c:strCache>
            </c:strRef>
          </c:cat>
          <c:val>
            <c:numRef>
              <c:f>FINAL!$Z$4:$Z$7</c:f>
              <c:numCache>
                <c:formatCode>0%</c:formatCode>
                <c:ptCount val="4"/>
                <c:pt idx="0">
                  <c:v>8.314614567552979E-2</c:v>
                </c:pt>
                <c:pt idx="1">
                  <c:v>0.10203282144790451</c:v>
                </c:pt>
                <c:pt idx="2">
                  <c:v>8.3672477011972626E-2</c:v>
                </c:pt>
                <c:pt idx="3">
                  <c:v>8.7082596246785687E-2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F5-4332-B59E-6436821B0B6E}"/>
            </c:ext>
          </c:extLst>
        </c:ser>
        <c:ser>
          <c:idx val="1"/>
          <c:order val="1"/>
          <c:tx>
            <c:strRef>
              <c:f>FINAL!$AA$3</c:f>
              <c:strCache>
                <c:ptCount val="1"/>
                <c:pt idx="0">
                  <c:v>CT-Industrial, 35MW, 16 MW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FINAL!$Y$4:$Y$7</c:f>
              <c:strCache>
                <c:ptCount val="4"/>
                <c:pt idx="0">
                  <c:v>High Solar / High Wind</c:v>
                </c:pt>
                <c:pt idx="1">
                  <c:v>High Solar / Low Wind</c:v>
                </c:pt>
                <c:pt idx="2">
                  <c:v>Low Solar / High Wind</c:v>
                </c:pt>
                <c:pt idx="3">
                  <c:v>Low Solar / Low Wind</c:v>
                </c:pt>
              </c:strCache>
            </c:strRef>
          </c:cat>
          <c:val>
            <c:numRef>
              <c:f>FINAL!$AA$4:$AA$7</c:f>
              <c:numCache>
                <c:formatCode>0%</c:formatCode>
                <c:ptCount val="4"/>
                <c:pt idx="0">
                  <c:v>0.11797175642967839</c:v>
                </c:pt>
                <c:pt idx="1">
                  <c:v>0.15262469019717101</c:v>
                </c:pt>
                <c:pt idx="2">
                  <c:v>0.54465804152373654</c:v>
                </c:pt>
                <c:pt idx="3">
                  <c:v>0.79888209789479192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9F5-4332-B59E-6436821B0B6E}"/>
            </c:ext>
          </c:extLst>
        </c:ser>
        <c:ser>
          <c:idx val="2"/>
          <c:order val="2"/>
          <c:tx>
            <c:strRef>
              <c:f>FINAL!$AB$3</c:f>
              <c:strCache>
                <c:ptCount val="1"/>
                <c:pt idx="0">
                  <c:v>Solar PV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FINAL!$Y$4:$Y$7</c:f>
              <c:strCache>
                <c:ptCount val="4"/>
                <c:pt idx="0">
                  <c:v>High Solar / High Wind</c:v>
                </c:pt>
                <c:pt idx="1">
                  <c:v>High Solar / Low Wind</c:v>
                </c:pt>
                <c:pt idx="2">
                  <c:v>Low Solar / High Wind</c:v>
                </c:pt>
                <c:pt idx="3">
                  <c:v>Low Solar / Low Wind</c:v>
                </c:pt>
              </c:strCache>
            </c:strRef>
          </c:cat>
          <c:val>
            <c:numRef>
              <c:f>FINAL!$AB$4:$AB$7</c:f>
              <c:numCache>
                <c:formatCode>0%</c:formatCode>
                <c:ptCount val="4"/>
                <c:pt idx="0">
                  <c:v>0.39203335132656558</c:v>
                </c:pt>
                <c:pt idx="1">
                  <c:v>0.46</c:v>
                </c:pt>
                <c:pt idx="2">
                  <c:v>0.41086690819245553</c:v>
                </c:pt>
                <c:pt idx="3">
                  <c:v>0.49184493522756978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9F5-4332-B59E-6436821B0B6E}"/>
            </c:ext>
          </c:extLst>
        </c:ser>
        <c:ser>
          <c:idx val="3"/>
          <c:order val="3"/>
          <c:tx>
            <c:strRef>
              <c:f>FINAL!$AC$3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FINAL!$Y$4:$Y$7</c:f>
              <c:strCache>
                <c:ptCount val="4"/>
                <c:pt idx="0">
                  <c:v>High Solar / High Wind</c:v>
                </c:pt>
                <c:pt idx="1">
                  <c:v>High Solar / Low Wind</c:v>
                </c:pt>
                <c:pt idx="2">
                  <c:v>Low Solar / High Wind</c:v>
                </c:pt>
                <c:pt idx="3">
                  <c:v>Low Solar / Low Wind</c:v>
                </c:pt>
              </c:strCache>
            </c:strRef>
          </c:cat>
          <c:val>
            <c:numRef>
              <c:f>FINAL!$AC$4:$AC$7</c:f>
              <c:numCache>
                <c:formatCode>0%</c:formatCode>
                <c:ptCount val="4"/>
                <c:pt idx="0">
                  <c:v>0.13869444589551155</c:v>
                </c:pt>
                <c:pt idx="1">
                  <c:v>0</c:v>
                </c:pt>
                <c:pt idx="2">
                  <c:v>0.17353642527230065</c:v>
                </c:pt>
                <c:pt idx="3">
                  <c:v>7.172080073435097E-2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9F5-4332-B59E-6436821B0B6E}"/>
            </c:ext>
          </c:extLst>
        </c:ser>
        <c:ser>
          <c:idx val="4"/>
          <c:order val="4"/>
          <c:tx>
            <c:strRef>
              <c:f>FINAL!$AD$3</c:f>
              <c:strCache>
                <c:ptCount val="1"/>
                <c:pt idx="0">
                  <c:v>Battery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FINAL!$Y$4:$Y$7</c:f>
              <c:strCache>
                <c:ptCount val="4"/>
                <c:pt idx="0">
                  <c:v>High Solar / High Wind</c:v>
                </c:pt>
                <c:pt idx="1">
                  <c:v>High Solar / Low Wind</c:v>
                </c:pt>
                <c:pt idx="2">
                  <c:v>Low Solar / High Wind</c:v>
                </c:pt>
                <c:pt idx="3">
                  <c:v>Low Solar / Low Wind</c:v>
                </c:pt>
              </c:strCache>
            </c:strRef>
          </c:cat>
          <c:val>
            <c:numRef>
              <c:f>FINAL!$AD$4:$AD$7</c:f>
              <c:numCache>
                <c:formatCode>0%</c:formatCode>
                <c:ptCount val="4"/>
                <c:pt idx="0">
                  <c:v>0.26815430067271473</c:v>
                </c:pt>
                <c:pt idx="1">
                  <c:v>0.26</c:v>
                </c:pt>
                <c:pt idx="2">
                  <c:v>0.22021486157534978</c:v>
                </c:pt>
                <c:pt idx="3">
                  <c:v>0.20406203077222354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9F5-4332-B59E-6436821B0B6E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79"/>
        <c:overlap val="100"/>
        <c:axId val="1760215200"/>
        <c:axId val="1760208360"/>
      </c:barChart>
      <c:catAx>
        <c:axId val="17602152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0208360"/>
        <c:crosses val="autoZero"/>
        <c:auto val="1"/>
        <c:lblAlgn val="ctr"/>
        <c:lblOffset val="100"/>
        <c:noMultiLvlLbl val="0"/>
      </c:catAx>
      <c:valAx>
        <c:axId val="1760208360"/>
        <c:scaling>
          <c:orientation val="minMax"/>
        </c:scaling>
        <c:delete val="0"/>
        <c:axPos val="l"/>
        <c:numFmt formatCode="0%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02152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aseline="0">
                <a:solidFill>
                  <a:schemeClr val="tx1"/>
                </a:solidFill>
              </a:rPr>
              <a:t>Carbon Intensity Lb/MWh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6103399446203253E-2"/>
          <c:y val="0.19562562716399831"/>
          <c:w val="0.90953233938541189"/>
          <c:h val="0.77915040183696904"/>
        </c:manualLayout>
      </c:layout>
      <c:scatterChart>
        <c:scatterStyle val="lineMarker"/>
        <c:varyColors val="0"/>
        <c:ser>
          <c:idx val="0"/>
          <c:order val="0"/>
          <c:tx>
            <c:strRef>
              <c:f>'Carbon Intensity'!$B$9</c:f>
              <c:strCache>
                <c:ptCount val="1"/>
                <c:pt idx="0">
                  <c:v>Carbon Intensity Lb/MWh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3"/>
              <c:layout>
                <c:manualLayout>
                  <c:x val="0"/>
                  <c:y val="-0.1515498877930561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C6BB-4757-92D3-F8467DC50EC9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xVal>
            <c:strRef>
              <c:f>'Carbon Intensity'!$A$10:$A$13</c:f>
              <c:strCache>
                <c:ptCount val="4"/>
                <c:pt idx="0">
                  <c:v>High Solar High Wind (TX)</c:v>
                </c:pt>
                <c:pt idx="1">
                  <c:v>High Solar Low Wind (AZ)</c:v>
                </c:pt>
                <c:pt idx="2">
                  <c:v>Low Solar High Wind (ID)</c:v>
                </c:pt>
                <c:pt idx="3">
                  <c:v>Low Solar Low Wind (PA)</c:v>
                </c:pt>
              </c:strCache>
            </c:strRef>
          </c:xVal>
          <c:yVal>
            <c:numRef>
              <c:f>'Carbon Intensity'!$B$10:$B$13</c:f>
              <c:numCache>
                <c:formatCode>General</c:formatCode>
                <c:ptCount val="4"/>
                <c:pt idx="0">
                  <c:v>281</c:v>
                </c:pt>
                <c:pt idx="1">
                  <c:v>485</c:v>
                </c:pt>
                <c:pt idx="2">
                  <c:v>380</c:v>
                </c:pt>
                <c:pt idx="3">
                  <c:v>564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6BB-4757-92D3-F8467DC50E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7985480"/>
        <c:axId val="667985840"/>
      </c:scatterChart>
      <c:valAx>
        <c:axId val="667985480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crossAx val="667985840"/>
        <c:crosses val="autoZero"/>
        <c:crossBetween val="midCat"/>
      </c:valAx>
      <c:valAx>
        <c:axId val="667985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lb/MWh</a:t>
                </a:r>
              </a:p>
            </c:rich>
          </c:tx>
          <c:layout>
            <c:manualLayout>
              <c:xMode val="edge"/>
              <c:yMode val="edge"/>
              <c:x val="6.4794816414686825E-3"/>
              <c:y val="1.8796380738446805E-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79854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26004</xdr:colOff>
      <xdr:row>31</xdr:row>
      <xdr:rowOff>165824</xdr:rowOff>
    </xdr:from>
    <xdr:to>
      <xdr:col>33</xdr:col>
      <xdr:colOff>595027</xdr:colOff>
      <xdr:row>52</xdr:row>
      <xdr:rowOff>74512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80DDC9E-E076-9481-3AA6-82A45CB1E6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374650</xdr:colOff>
      <xdr:row>7</xdr:row>
      <xdr:rowOff>161924</xdr:rowOff>
    </xdr:from>
    <xdr:to>
      <xdr:col>7</xdr:col>
      <xdr:colOff>355600</xdr:colOff>
      <xdr:row>22</xdr:row>
      <xdr:rowOff>165100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6074ACA-99F9-5E86-26ED-879ADD8E62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/Users/223116567/AppData/Local/Temp/50641853-66e9-412b-93ea-3fe3e06c7411_20260818_GoogleRun_V1%201.zip.411/20260818_GoogleRun_V1/100PC_RE_NoMinBESS_MaxBuildonCC_summary_Results_HSHW.xlsx" TargetMode="External"/><Relationship Id="rId1" Type="http://schemas.openxmlformats.org/officeDocument/2006/relationships/externalLinkPath" Target="file:///C:/Users/223116567/AppData/Local/Temp/50641853-66e9-412b-93ea-3fe3e06c7411_20260818_GoogleRun_V1%201.zip.411/20260818_GoogleRun_V1/100PC_RE_NoMinBESS_MaxBuildonCC_summary_Results_HSHW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/Users/223116567/AppData/Local/Temp/b1f71f8f-cfd9-4ee1-a096-ac19d73b21bf_20260818_GoogleRun_V1%201.zip.1bf/20260818_GoogleRun_V1/70PC_RE_NoMinBESS_MaxBuildonCC_20PLI_summary_Results_HSHW_6hr_BESS.xlsx" TargetMode="External"/><Relationship Id="rId1" Type="http://schemas.openxmlformats.org/officeDocument/2006/relationships/externalLinkPath" Target="file:///C:/Users/223116567/AppData/Local/Temp/b1f71f8f-cfd9-4ee1-a096-ac19d73b21bf_20260818_GoogleRun_V1%201.zip.1bf/20260818_GoogleRun_V1/70PC_RE_NoMinBESS_MaxBuildonCC_20PLI_summary_Results_HSHW_6hr_BES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mmary"/>
      <sheetName val="100PCT_RE"/>
      <sheetName val="Hourly_Data"/>
    </sheetNames>
    <sheetDataSet>
      <sheetData sheetId="0"/>
      <sheetData sheetId="1">
        <row r="27">
          <cell r="D27" t="str">
            <v>Child Name</v>
          </cell>
          <cell r="E27" t="str">
            <v>Category</v>
          </cell>
          <cell r="F27" t="str">
            <v>Fiscal Year</v>
          </cell>
          <cell r="G27" t="str">
            <v>Units</v>
          </cell>
          <cell r="H27" t="str">
            <v>Generation (GWh)</v>
          </cell>
          <cell r="I27" t="str">
            <v>Min Generation (MW)</v>
          </cell>
          <cell r="J27" t="str">
            <v>Operating Hours (h)</v>
          </cell>
          <cell r="K27" t="str">
            <v>Capacity Factor (%)</v>
          </cell>
          <cell r="L27" t="str">
            <v>Hours Curtailed (h)</v>
          </cell>
          <cell r="M27" t="str">
            <v>Energy Curtailed (GWh)</v>
          </cell>
          <cell r="N27" t="str">
            <v>Curtailment Factor (%)</v>
          </cell>
          <cell r="O27" t="str">
            <v>Ramp Up (MW)</v>
          </cell>
          <cell r="P27" t="str">
            <v>Fuel Price ($/MMBtu)</v>
          </cell>
          <cell r="Q27" t="str">
            <v>Fuel Cost ($000)</v>
          </cell>
          <cell r="R27" t="str">
            <v>Fuel Transport Cost ($000)</v>
          </cell>
          <cell r="S27" t="str">
            <v>VO&amp;M Cost ($000)</v>
          </cell>
          <cell r="T27" t="str">
            <v>FO&amp;M Cost ($000)</v>
          </cell>
          <cell r="U27" t="str">
            <v>Generation Cost ($000)</v>
          </cell>
          <cell r="V27" t="str">
            <v>Start &amp; Shutdown Cost ($000)</v>
          </cell>
          <cell r="W27" t="str">
            <v>Start Fuel Cost ($000)</v>
          </cell>
          <cell r="X27" t="str">
            <v>Emissions Cost ($000)</v>
          </cell>
          <cell r="Y27" t="str">
            <v>Total Generation Cost ($000)</v>
          </cell>
          <cell r="Z27" t="str">
            <v>Total System Cost ($000)</v>
          </cell>
          <cell r="AA27" t="str">
            <v>Fixed Costs ($000)</v>
          </cell>
          <cell r="AB27" t="str">
            <v>Heat Rate (Btu/kWh)</v>
          </cell>
          <cell r="AC27" t="str">
            <v>Marginal Heat Rate (Btu/kWh)</v>
          </cell>
          <cell r="AD27" t="str">
            <v>Average Heat Rate (Btu/kWh)</v>
          </cell>
          <cell r="AE27" t="str">
            <v>SRMC ($/MWh)</v>
          </cell>
          <cell r="AF27" t="str">
            <v>Average Cost ($/MWh)</v>
          </cell>
          <cell r="AG27" t="str">
            <v>Average Total Cost ($/MWh)</v>
          </cell>
          <cell r="AH27" t="str">
            <v>Mark-up ($/MWh)</v>
          </cell>
          <cell r="AI27" t="str">
            <v>Bid-Cost Mark-up (%)</v>
          </cell>
          <cell r="AJ27" t="str">
            <v>Spark Spread ($/MWh)</v>
          </cell>
          <cell r="AK27" t="str">
            <v>Max Capacity (MW)</v>
          </cell>
          <cell r="AL27" t="str">
            <v>Min Capacity (MW)</v>
          </cell>
          <cell r="AM27" t="str">
            <v>Installed Capacity (MW)</v>
          </cell>
          <cell r="AN27" t="str">
            <v>Rating (MW)</v>
          </cell>
          <cell r="AO27" t="str">
            <v>Maintenance (GWh)</v>
          </cell>
          <cell r="AP27" t="str">
            <v>Maintenance Hours (h)</v>
          </cell>
          <cell r="AQ27" t="str">
            <v>Maintenance Rate (%)</v>
          </cell>
          <cell r="AR27" t="str">
            <v>Forced Outage (GWh)</v>
          </cell>
          <cell r="AS27" t="str">
            <v>Forced Outage Hours (h)</v>
          </cell>
          <cell r="AT27" t="str">
            <v>Forced Outage Rate (%)</v>
          </cell>
          <cell r="AU27" t="str">
            <v>Outage (GWh)</v>
          </cell>
          <cell r="AV27" t="str">
            <v>Outage Hours (h)</v>
          </cell>
          <cell r="AW27" t="str">
            <v>Outage Rate (%)</v>
          </cell>
          <cell r="AX27" t="str">
            <v>Available Energy (GWh)</v>
          </cell>
          <cell r="AY27" t="str">
            <v>Intensity (lb/MWh)</v>
          </cell>
        </row>
        <row r="28">
          <cell r="D28" t="str">
            <v>Wind_ERCONA</v>
          </cell>
          <cell r="E28" t="str">
            <v>Wind</v>
          </cell>
          <cell r="F28">
            <v>2030</v>
          </cell>
          <cell r="G28">
            <v>2.0499999999999998</v>
          </cell>
          <cell r="H28">
            <v>3058.8</v>
          </cell>
          <cell r="I28">
            <v>0</v>
          </cell>
          <cell r="J28">
            <v>4784</v>
          </cell>
          <cell r="K28">
            <v>22.96</v>
          </cell>
          <cell r="L28">
            <v>4359</v>
          </cell>
          <cell r="M28">
            <v>2712.95</v>
          </cell>
          <cell r="N28">
            <v>47</v>
          </cell>
          <cell r="O28">
            <v>845686.38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47631.16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47631.16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239.95</v>
          </cell>
          <cell r="AK28">
            <v>742.98</v>
          </cell>
          <cell r="AL28">
            <v>0</v>
          </cell>
          <cell r="AM28">
            <v>1520.95</v>
          </cell>
          <cell r="AN28">
            <v>437.43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>
            <v>0</v>
          </cell>
          <cell r="AX28">
            <v>5771.76</v>
          </cell>
        </row>
        <row r="29">
          <cell r="D29" t="str">
            <v>Solar PV with tracking_ERCONA</v>
          </cell>
          <cell r="E29" t="str">
            <v>Solar PV with tracking</v>
          </cell>
          <cell r="F29">
            <v>2030</v>
          </cell>
          <cell r="G29">
            <v>2.97</v>
          </cell>
          <cell r="H29">
            <v>9249.25</v>
          </cell>
          <cell r="I29">
            <v>0</v>
          </cell>
          <cell r="J29">
            <v>4063</v>
          </cell>
          <cell r="K29">
            <v>14.47</v>
          </cell>
          <cell r="L29">
            <v>2450</v>
          </cell>
          <cell r="M29">
            <v>8014.19</v>
          </cell>
          <cell r="N29">
            <v>46.42</v>
          </cell>
          <cell r="O29">
            <v>2814195.44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115065.91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115065.91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51.37</v>
          </cell>
          <cell r="AK29">
            <v>2455.04</v>
          </cell>
          <cell r="AL29">
            <v>0</v>
          </cell>
          <cell r="AM29">
            <v>7298.73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17263.439999999999</v>
          </cell>
        </row>
        <row r="30">
          <cell r="D30" t="str">
            <v>Wind_ERCONA</v>
          </cell>
          <cell r="E30" t="str">
            <v>Wind</v>
          </cell>
          <cell r="F30">
            <v>2030</v>
          </cell>
          <cell r="AY30">
            <v>0</v>
          </cell>
        </row>
        <row r="31">
          <cell r="D31" t="str">
            <v>Solar PV with tracking_ERCONA</v>
          </cell>
          <cell r="E31" t="str">
            <v>Solar PV with tracking</v>
          </cell>
          <cell r="F31">
            <v>2030</v>
          </cell>
          <cell r="AY31">
            <v>0</v>
          </cell>
        </row>
      </sheetData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mmary"/>
      <sheetName val="70PCT_RE"/>
      <sheetName val="Hourly_Data"/>
    </sheetNames>
    <sheetDataSet>
      <sheetData sheetId="0"/>
      <sheetData sheetId="1">
        <row r="27">
          <cell r="D27" t="str">
            <v>Child Name</v>
          </cell>
          <cell r="E27" t="str">
            <v>Category</v>
          </cell>
          <cell r="F27" t="str">
            <v>Fiscal Year</v>
          </cell>
          <cell r="G27" t="str">
            <v>Units</v>
          </cell>
          <cell r="H27" t="str">
            <v>Generation (GWh)</v>
          </cell>
          <cell r="I27" t="str">
            <v>Min Generation (MW)</v>
          </cell>
          <cell r="J27" t="str">
            <v>Operating Hours (h)</v>
          </cell>
          <cell r="K27" t="str">
            <v>Capacity Factor (%)</v>
          </cell>
          <cell r="L27" t="str">
            <v>Hours Curtailed (h)</v>
          </cell>
          <cell r="M27" t="str">
            <v>Energy Curtailed (GWh)</v>
          </cell>
          <cell r="N27" t="str">
            <v>Curtailment Factor (%)</v>
          </cell>
          <cell r="O27" t="str">
            <v>Ramp Up (MW)</v>
          </cell>
          <cell r="P27" t="str">
            <v>Fuel Price ($/MMBtu)</v>
          </cell>
          <cell r="Q27" t="str">
            <v>Fuel Cost ($000)</v>
          </cell>
          <cell r="R27" t="str">
            <v>Fuel Transport Cost ($000)</v>
          </cell>
          <cell r="S27" t="str">
            <v>VO&amp;M Cost ($000)</v>
          </cell>
          <cell r="T27" t="str">
            <v>FO&amp;M Cost ($000)</v>
          </cell>
          <cell r="U27" t="str">
            <v>Generation Cost ($000)</v>
          </cell>
          <cell r="V27" t="str">
            <v>Start &amp; Shutdown Cost ($000)</v>
          </cell>
          <cell r="W27" t="str">
            <v>Start Fuel Cost ($000)</v>
          </cell>
          <cell r="X27" t="str">
            <v>Emissions Cost ($000)</v>
          </cell>
          <cell r="Y27" t="str">
            <v>Total Generation Cost ($000)</v>
          </cell>
          <cell r="Z27" t="str">
            <v>Total System Cost ($000)</v>
          </cell>
          <cell r="AA27" t="str">
            <v>Fixed Costs ($000)</v>
          </cell>
          <cell r="AB27" t="str">
            <v>Heat Rate (Btu/kWh)</v>
          </cell>
          <cell r="AC27" t="str">
            <v>Marginal Heat Rate (Btu/kWh)</v>
          </cell>
          <cell r="AD27" t="str">
            <v>Average Heat Rate (Btu/kWh)</v>
          </cell>
          <cell r="AE27" t="str">
            <v>SRMC ($/MWh)</v>
          </cell>
          <cell r="AF27" t="str">
            <v>Average Cost ($/MWh)</v>
          </cell>
          <cell r="AG27" t="str">
            <v>Average Total Cost ($/MWh)</v>
          </cell>
          <cell r="AH27" t="str">
            <v>Mark-up ($/MWh)</v>
          </cell>
          <cell r="AI27" t="str">
            <v>Mark-up ($/MWh) (Band 2)</v>
          </cell>
          <cell r="AJ27" t="str">
            <v>Mark-up ($/MWh) (Band 3)</v>
          </cell>
          <cell r="AK27" t="str">
            <v>Mark-up ($/MWh) (Band 4)</v>
          </cell>
          <cell r="AL27" t="str">
            <v>Mark-up ($/MWh) (Band 5)</v>
          </cell>
          <cell r="AM27" t="str">
            <v>Mark-up ($/MWh) (Band 6)</v>
          </cell>
          <cell r="AN27" t="str">
            <v>Mark-up ($/MWh) (Band 7)</v>
          </cell>
          <cell r="AO27" t="str">
            <v>Mark-up ($/MWh) (Band 8)</v>
          </cell>
          <cell r="AP27" t="str">
            <v>Mark-up ($/MWh) (Band 9)</v>
          </cell>
          <cell r="AQ27" t="str">
            <v>Mark-up ($/MWh) (Band 10)</v>
          </cell>
          <cell r="AR27" t="str">
            <v>Bid-Cost Mark-up (%)</v>
          </cell>
          <cell r="AS27" t="str">
            <v>Bid-Cost Mark-up (%) (Band 2)</v>
          </cell>
          <cell r="AT27" t="str">
            <v>Bid-Cost Mark-up (%) (Band 3)</v>
          </cell>
          <cell r="AU27" t="str">
            <v>Bid-Cost Mark-up (%) (Band 4)</v>
          </cell>
          <cell r="AV27" t="str">
            <v>Bid-Cost Mark-up (%) (Band 5)</v>
          </cell>
          <cell r="AW27" t="str">
            <v>Bid-Cost Mark-up (%) (Band 6)</v>
          </cell>
          <cell r="AX27" t="str">
            <v>Bid-Cost Mark-up (%) (Band 7)</v>
          </cell>
          <cell r="AY27" t="str">
            <v>Bid-Cost Mark-up (%) (Band 8)</v>
          </cell>
          <cell r="AZ27" t="str">
            <v>Bid-Cost Mark-up (%) (Band 9)</v>
          </cell>
          <cell r="BA27" t="str">
            <v>Bid-Cost Mark-up (%) (Band 10)</v>
          </cell>
          <cell r="BB27" t="str">
            <v>Spark Spread ($/MWh)</v>
          </cell>
          <cell r="BC27" t="str">
            <v>Max Capacity (MW)</v>
          </cell>
          <cell r="BD27" t="str">
            <v>Min Capacity (MW)</v>
          </cell>
          <cell r="BE27" t="str">
            <v>Installed Capacity (MW)</v>
          </cell>
          <cell r="BF27" t="str">
            <v>Rating (MW)</v>
          </cell>
          <cell r="BG27" t="str">
            <v>Maintenance (GWh)</v>
          </cell>
          <cell r="BH27" t="str">
            <v>Maintenance Hours (h)</v>
          </cell>
          <cell r="BI27" t="str">
            <v>Maintenance Rate (%)</v>
          </cell>
          <cell r="BJ27" t="str">
            <v>Forced Outage (GWh)</v>
          </cell>
          <cell r="BK27" t="str">
            <v>Forced Outage Hours (h)</v>
          </cell>
          <cell r="BL27" t="str">
            <v>Forced Outage Rate (%)</v>
          </cell>
          <cell r="BM27" t="str">
            <v>Outage (GWh)</v>
          </cell>
          <cell r="BN27" t="str">
            <v>Outage Hours (h)</v>
          </cell>
          <cell r="BO27" t="str">
            <v>Outage Rate (%)</v>
          </cell>
          <cell r="BP27" t="str">
            <v>Available Energy (GWh)</v>
          </cell>
          <cell r="BQ27" t="str">
            <v>Intensity (lb/MWh)</v>
          </cell>
        </row>
        <row r="28">
          <cell r="D28" t="str">
            <v>CC—single-shaft_ERCONA</v>
          </cell>
          <cell r="E28" t="str">
            <v>CC—single-shaft</v>
          </cell>
          <cell r="F28">
            <v>2030</v>
          </cell>
          <cell r="G28">
            <v>1</v>
          </cell>
          <cell r="H28">
            <v>1891.33</v>
          </cell>
          <cell r="I28">
            <v>0</v>
          </cell>
          <cell r="J28">
            <v>4833</v>
          </cell>
          <cell r="K28">
            <v>37.68</v>
          </cell>
          <cell r="L28">
            <v>0</v>
          </cell>
          <cell r="M28">
            <v>0</v>
          </cell>
          <cell r="N28">
            <v>0</v>
          </cell>
          <cell r="O28">
            <v>104595.63</v>
          </cell>
          <cell r="P28">
            <v>4.25</v>
          </cell>
          <cell r="Q28">
            <v>49160.21</v>
          </cell>
          <cell r="R28">
            <v>2891.78</v>
          </cell>
          <cell r="S28">
            <v>4946.0200000000004</v>
          </cell>
          <cell r="T28">
            <v>7492.27</v>
          </cell>
          <cell r="U28">
            <v>54106.23</v>
          </cell>
          <cell r="V28">
            <v>5074.34</v>
          </cell>
          <cell r="W28">
            <v>0</v>
          </cell>
          <cell r="X28">
            <v>0</v>
          </cell>
          <cell r="Y28">
            <v>59180.57</v>
          </cell>
          <cell r="Z28">
            <v>59180.57</v>
          </cell>
          <cell r="AA28">
            <v>7492.27</v>
          </cell>
          <cell r="AB28">
            <v>6094.91</v>
          </cell>
          <cell r="AC28">
            <v>6088.41</v>
          </cell>
          <cell r="AD28">
            <v>6115.86</v>
          </cell>
          <cell r="AE28">
            <v>28.49</v>
          </cell>
          <cell r="AF28">
            <v>28.61</v>
          </cell>
          <cell r="AG28">
            <v>31.29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27.44</v>
          </cell>
          <cell r="BC28">
            <v>573</v>
          </cell>
          <cell r="BD28">
            <v>210.9</v>
          </cell>
          <cell r="BE28">
            <v>573</v>
          </cell>
          <cell r="BF28">
            <v>532.29999999999995</v>
          </cell>
          <cell r="BG28">
            <v>100.85</v>
          </cell>
          <cell r="BH28">
            <v>176</v>
          </cell>
          <cell r="BI28">
            <v>2.0099999999999998</v>
          </cell>
          <cell r="BJ28">
            <v>151.27000000000001</v>
          </cell>
          <cell r="BK28">
            <v>264</v>
          </cell>
          <cell r="BL28">
            <v>3.01</v>
          </cell>
          <cell r="BM28">
            <v>252.12</v>
          </cell>
          <cell r="BN28">
            <v>440</v>
          </cell>
          <cell r="BO28">
            <v>5.0199999999999996</v>
          </cell>
          <cell r="BP28">
            <v>4628.6499999999996</v>
          </cell>
        </row>
        <row r="29">
          <cell r="D29" t="str">
            <v>CT—industrial frame_ERCONA</v>
          </cell>
          <cell r="E29" t="str">
            <v>CT—industrial frame</v>
          </cell>
          <cell r="F29">
            <v>2030</v>
          </cell>
          <cell r="G29">
            <v>3</v>
          </cell>
          <cell r="H29">
            <v>726.17</v>
          </cell>
          <cell r="I29">
            <v>0</v>
          </cell>
          <cell r="J29">
            <v>2035</v>
          </cell>
          <cell r="K29">
            <v>11.56</v>
          </cell>
          <cell r="L29">
            <v>0</v>
          </cell>
          <cell r="M29">
            <v>0</v>
          </cell>
          <cell r="N29">
            <v>0</v>
          </cell>
          <cell r="O29">
            <v>68783.429999999993</v>
          </cell>
          <cell r="P29">
            <v>4.25</v>
          </cell>
          <cell r="Q29">
            <v>30432.63</v>
          </cell>
          <cell r="R29">
            <v>1790.15</v>
          </cell>
          <cell r="S29">
            <v>2925.65</v>
          </cell>
          <cell r="T29">
            <v>8024.14</v>
          </cell>
          <cell r="U29">
            <v>33358.28</v>
          </cell>
          <cell r="V29">
            <v>3130.23</v>
          </cell>
          <cell r="W29">
            <v>0</v>
          </cell>
          <cell r="X29">
            <v>0</v>
          </cell>
          <cell r="Y29">
            <v>36488.51</v>
          </cell>
          <cell r="Z29">
            <v>36488.51</v>
          </cell>
          <cell r="AA29">
            <v>8024.14</v>
          </cell>
          <cell r="AB29">
            <v>9908.11</v>
          </cell>
          <cell r="AC29">
            <v>11213.82</v>
          </cell>
          <cell r="AD29">
            <v>9860.75</v>
          </cell>
          <cell r="AE29">
            <v>51.69</v>
          </cell>
          <cell r="AF29">
            <v>45.94</v>
          </cell>
          <cell r="AG29">
            <v>50.25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28.17</v>
          </cell>
          <cell r="BC29">
            <v>239</v>
          </cell>
          <cell r="BD29">
            <v>97.5</v>
          </cell>
          <cell r="BE29">
            <v>717</v>
          </cell>
          <cell r="BF29">
            <v>225.24</v>
          </cell>
          <cell r="BG29">
            <v>168.26</v>
          </cell>
          <cell r="BH29">
            <v>234.67</v>
          </cell>
          <cell r="BI29">
            <v>2.68</v>
          </cell>
          <cell r="BJ29">
            <v>149.85</v>
          </cell>
          <cell r="BK29">
            <v>209</v>
          </cell>
          <cell r="BL29">
            <v>2.39</v>
          </cell>
          <cell r="BM29">
            <v>318.11</v>
          </cell>
          <cell r="BN29">
            <v>443.67</v>
          </cell>
          <cell r="BO29">
            <v>5.0599999999999996</v>
          </cell>
          <cell r="BP29">
            <v>5817.24</v>
          </cell>
        </row>
        <row r="30">
          <cell r="D30" t="str">
            <v>Wind_ERCONA</v>
          </cell>
          <cell r="E30" t="str">
            <v>Wind</v>
          </cell>
          <cell r="F30">
            <v>2030</v>
          </cell>
          <cell r="G30">
            <v>1.3</v>
          </cell>
          <cell r="H30">
            <v>3240.94</v>
          </cell>
          <cell r="I30">
            <v>0</v>
          </cell>
          <cell r="J30">
            <v>7715</v>
          </cell>
          <cell r="K30">
            <v>38.299999999999997</v>
          </cell>
          <cell r="L30">
            <v>1093</v>
          </cell>
          <cell r="M30">
            <v>424.99</v>
          </cell>
          <cell r="N30">
            <v>11.59</v>
          </cell>
          <cell r="O30">
            <v>530090.93999999994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30252.89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30252.89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R30">
            <v>0</v>
          </cell>
          <cell r="BB30">
            <v>47.53</v>
          </cell>
          <cell r="BC30">
            <v>742.98</v>
          </cell>
          <cell r="BD30">
            <v>0</v>
          </cell>
          <cell r="BE30">
            <v>966.03</v>
          </cell>
          <cell r="BF30">
            <v>437.43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P30">
            <v>3665.93</v>
          </cell>
        </row>
        <row r="31">
          <cell r="D31" t="str">
            <v>Solar PV with tracking_ERCONA</v>
          </cell>
          <cell r="E31" t="str">
            <v>Solar PV with tracking</v>
          </cell>
          <cell r="F31">
            <v>2030</v>
          </cell>
          <cell r="G31">
            <v>1.19</v>
          </cell>
          <cell r="H31">
            <v>6121.93</v>
          </cell>
          <cell r="I31">
            <v>0</v>
          </cell>
          <cell r="J31">
            <v>4270</v>
          </cell>
          <cell r="K31">
            <v>24.01</v>
          </cell>
          <cell r="L31">
            <v>985</v>
          </cell>
          <cell r="M31">
            <v>763.96</v>
          </cell>
          <cell r="N31">
            <v>11.09</v>
          </cell>
          <cell r="O31">
            <v>1095935.57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45896.53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45896.53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R31">
            <v>0</v>
          </cell>
          <cell r="BB31">
            <v>7.58</v>
          </cell>
          <cell r="BC31">
            <v>2455.04</v>
          </cell>
          <cell r="BD31">
            <v>0</v>
          </cell>
          <cell r="BE31">
            <v>2911.26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P31">
            <v>6885.9</v>
          </cell>
        </row>
        <row r="32">
          <cell r="D32" t="str">
            <v>CC—single-shaft_ERCONA</v>
          </cell>
          <cell r="E32" t="str">
            <v>CC—single-shaft</v>
          </cell>
          <cell r="F32">
            <v>2030</v>
          </cell>
          <cell r="BQ32">
            <v>711.89</v>
          </cell>
        </row>
        <row r="33">
          <cell r="D33" t="str">
            <v>CT—industrial frame_ERCONA</v>
          </cell>
          <cell r="E33" t="str">
            <v>CT—industrial frame</v>
          </cell>
          <cell r="F33">
            <v>2030</v>
          </cell>
          <cell r="BQ33">
            <v>1147.79</v>
          </cell>
        </row>
        <row r="34">
          <cell r="D34" t="str">
            <v>Wind_ERCONA</v>
          </cell>
          <cell r="E34" t="str">
            <v>Wind</v>
          </cell>
          <cell r="F34">
            <v>2030</v>
          </cell>
          <cell r="BQ34">
            <v>0</v>
          </cell>
        </row>
        <row r="35">
          <cell r="D35" t="str">
            <v>Solar PV with tracking_ERCONA</v>
          </cell>
          <cell r="E35" t="str">
            <v>Solar PV with tracking</v>
          </cell>
          <cell r="F35">
            <v>2030</v>
          </cell>
          <cell r="BQ35">
            <v>0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24B8F-BB67-4C96-A1A5-1E3F18BA21EB}">
  <sheetPr>
    <tabColor theme="9" tint="0.59999389629810485"/>
  </sheetPr>
  <dimension ref="A1:AE118"/>
  <sheetViews>
    <sheetView tabSelected="1" zoomScale="150" zoomScaleNormal="150" workbookViewId="0">
      <pane xSplit="1" topLeftCell="B1" activePane="topRight" state="frozen"/>
      <selection pane="topRight" activeCell="A15" sqref="A15"/>
    </sheetView>
  </sheetViews>
  <sheetFormatPr baseColWidth="10" defaultColWidth="8.83203125" defaultRowHeight="15"/>
  <cols>
    <col min="1" max="1" width="27.1640625" customWidth="1"/>
    <col min="2" max="2" width="9.83203125" customWidth="1"/>
    <col min="3" max="3" width="14.83203125" customWidth="1"/>
    <col min="4" max="4" width="12.5" customWidth="1"/>
    <col min="6" max="6" width="18.83203125" customWidth="1"/>
    <col min="7" max="7" width="15" customWidth="1"/>
    <col min="8" max="8" width="7.33203125" customWidth="1"/>
    <col min="10" max="10" width="12.33203125" customWidth="1"/>
    <col min="11" max="11" width="13.33203125" customWidth="1"/>
    <col min="12" max="12" width="7" customWidth="1"/>
    <col min="14" max="14" width="9.1640625" customWidth="1"/>
    <col min="15" max="16" width="9.33203125" customWidth="1"/>
    <col min="17" max="17" width="6.6640625" customWidth="1"/>
    <col min="25" max="25" width="34.1640625" customWidth="1"/>
    <col min="26" max="26" width="15.33203125" customWidth="1"/>
    <col min="27" max="27" width="29.1640625" customWidth="1"/>
    <col min="28" max="28" width="20.1640625" customWidth="1"/>
  </cols>
  <sheetData>
    <row r="1" spans="1:31">
      <c r="A1" s="111" t="s">
        <v>70</v>
      </c>
      <c r="B1" s="111"/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1"/>
      <c r="N1" s="111"/>
      <c r="O1" s="111"/>
      <c r="P1" s="111"/>
      <c r="Q1" s="111"/>
    </row>
    <row r="2" spans="1:31" ht="16" thickBot="1">
      <c r="A2" s="112"/>
      <c r="B2" s="112"/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2"/>
      <c r="N2" s="112"/>
      <c r="O2" s="112"/>
      <c r="P2" s="112"/>
      <c r="Q2" s="112"/>
    </row>
    <row r="3" spans="1:31" ht="17" thickBot="1">
      <c r="A3" s="1"/>
      <c r="B3" s="173" t="s">
        <v>0</v>
      </c>
      <c r="C3" s="173"/>
      <c r="D3" s="173"/>
      <c r="E3" s="173"/>
      <c r="F3" s="173" t="s">
        <v>1</v>
      </c>
      <c r="G3" s="173"/>
      <c r="H3" s="173"/>
      <c r="I3" s="173"/>
      <c r="J3" s="173" t="s">
        <v>2</v>
      </c>
      <c r="K3" s="173"/>
      <c r="L3" s="173"/>
      <c r="M3" s="173"/>
      <c r="N3" s="173" t="s">
        <v>3</v>
      </c>
      <c r="O3" s="173"/>
      <c r="P3" s="173"/>
      <c r="Q3" s="173"/>
      <c r="Y3" s="9" t="s">
        <v>38</v>
      </c>
      <c r="Z3" s="9" t="s">
        <v>39</v>
      </c>
      <c r="AA3" s="9" t="s">
        <v>46</v>
      </c>
      <c r="AB3" s="9" t="s">
        <v>40</v>
      </c>
      <c r="AC3" s="9" t="s">
        <v>13</v>
      </c>
      <c r="AD3" s="9" t="s">
        <v>41</v>
      </c>
      <c r="AE3" s="11" t="s">
        <v>47</v>
      </c>
    </row>
    <row r="4" spans="1:31" ht="17" thickBot="1">
      <c r="A4" s="1" t="s">
        <v>4</v>
      </c>
      <c r="B4" s="1" t="s">
        <v>5</v>
      </c>
      <c r="C4" s="1" t="s">
        <v>6</v>
      </c>
      <c r="D4" s="1" t="s">
        <v>69</v>
      </c>
      <c r="E4" s="1" t="s">
        <v>7</v>
      </c>
      <c r="F4" s="1" t="s">
        <v>5</v>
      </c>
      <c r="G4" s="1" t="s">
        <v>6</v>
      </c>
      <c r="H4" s="1" t="s">
        <v>31</v>
      </c>
      <c r="I4" s="1" t="s">
        <v>7</v>
      </c>
      <c r="J4" s="1" t="s">
        <v>5</v>
      </c>
      <c r="K4" s="1" t="s">
        <v>6</v>
      </c>
      <c r="L4" s="1" t="s">
        <v>31</v>
      </c>
      <c r="M4" s="1" t="s">
        <v>7</v>
      </c>
      <c r="N4" s="1" t="s">
        <v>5</v>
      </c>
      <c r="O4" s="1" t="s">
        <v>8</v>
      </c>
      <c r="P4" s="1" t="s">
        <v>31</v>
      </c>
      <c r="Q4" s="1" t="s">
        <v>7</v>
      </c>
      <c r="Y4" s="10" t="s">
        <v>42</v>
      </c>
      <c r="Z4" s="11">
        <f>C5</f>
        <v>8.314614567552979E-2</v>
      </c>
      <c r="AA4" s="11">
        <f>C6+C7+C8</f>
        <v>0.11797175642967839</v>
      </c>
      <c r="AB4" s="11">
        <f>C11</f>
        <v>0.39203335132656558</v>
      </c>
      <c r="AC4" s="11">
        <f>C10</f>
        <v>0.13869444589551155</v>
      </c>
      <c r="AD4" s="11">
        <f>C12</f>
        <v>0.26815430067271473</v>
      </c>
      <c r="AE4" s="11">
        <f>SUM(AB4:AD4)</f>
        <v>0.79888209789479192</v>
      </c>
    </row>
    <row r="5" spans="1:31" ht="17" thickBot="1">
      <c r="A5" s="2" t="s">
        <v>9</v>
      </c>
      <c r="B5" s="36">
        <v>1</v>
      </c>
      <c r="C5" s="37">
        <f>E5/$E$13</f>
        <v>8.314614567552979E-2</v>
      </c>
      <c r="D5" s="43">
        <v>73.52</v>
      </c>
      <c r="E5" s="38">
        <v>573</v>
      </c>
      <c r="F5" s="36">
        <v>1</v>
      </c>
      <c r="G5" s="37">
        <f>I5/$I$13</f>
        <v>0.10203282144790451</v>
      </c>
      <c r="H5" s="37">
        <v>0.75080000000000002</v>
      </c>
      <c r="I5" s="51">
        <v>573</v>
      </c>
      <c r="J5" s="36">
        <v>1</v>
      </c>
      <c r="K5" s="37">
        <f>M5/$M$13</f>
        <v>8.3672477011972626E-2</v>
      </c>
      <c r="L5" s="37">
        <v>0.80830000000000002</v>
      </c>
      <c r="M5" s="51">
        <v>573</v>
      </c>
      <c r="N5" s="36">
        <v>1</v>
      </c>
      <c r="O5" s="37">
        <f>Q5/$Q$13</f>
        <v>8.7082596246785687E-2</v>
      </c>
      <c r="P5" s="37">
        <v>0.74</v>
      </c>
      <c r="Q5" s="51">
        <v>573</v>
      </c>
      <c r="Y5" s="10" t="s">
        <v>43</v>
      </c>
      <c r="Z5" s="47">
        <f>G5</f>
        <v>0.10203282144790451</v>
      </c>
      <c r="AA5" s="47">
        <f>C7+C8+C10</f>
        <v>0.15262469019717101</v>
      </c>
      <c r="AB5" s="47">
        <v>0.46</v>
      </c>
      <c r="AC5" s="47">
        <v>0</v>
      </c>
      <c r="AD5" s="47">
        <v>0.26</v>
      </c>
      <c r="AE5" s="47">
        <f>AB5+AC5+AD5</f>
        <v>0.72</v>
      </c>
    </row>
    <row r="6" spans="1:31" ht="17" thickBot="1">
      <c r="A6" s="2" t="s">
        <v>10</v>
      </c>
      <c r="B6" s="36">
        <v>3</v>
      </c>
      <c r="C6" s="37">
        <f>E6/$E$13</f>
        <v>0.10404151212801895</v>
      </c>
      <c r="D6" s="43">
        <v>18.21</v>
      </c>
      <c r="E6" s="38">
        <v>717</v>
      </c>
      <c r="F6" s="36">
        <v>4</v>
      </c>
      <c r="G6" s="37">
        <f>I6/$I$13</f>
        <v>0.17023277016439217</v>
      </c>
      <c r="H6" s="37">
        <v>0.43619999999999998</v>
      </c>
      <c r="I6" s="51">
        <v>956</v>
      </c>
      <c r="J6" s="36">
        <v>3</v>
      </c>
      <c r="K6" s="37">
        <f>M6/$M$13</f>
        <v>0.10470011521393432</v>
      </c>
      <c r="L6" s="37">
        <v>0.33839999999999998</v>
      </c>
      <c r="M6" s="51">
        <v>717</v>
      </c>
      <c r="N6" s="36">
        <v>4</v>
      </c>
      <c r="O6" s="37">
        <f>Q6/$Q$13</f>
        <v>0.14528963701907002</v>
      </c>
      <c r="P6" s="37">
        <v>0.25</v>
      </c>
      <c r="Q6" s="51">
        <v>956</v>
      </c>
      <c r="Y6" s="10" t="s">
        <v>44</v>
      </c>
      <c r="Z6" s="47">
        <f>K5</f>
        <v>8.3672477011972626E-2</v>
      </c>
      <c r="AA6" s="47">
        <f>C8+C10+C11</f>
        <v>0.54465804152373654</v>
      </c>
      <c r="AB6" s="47">
        <f>K11</f>
        <v>0.41086690819245553</v>
      </c>
      <c r="AC6" s="47">
        <f>K10</f>
        <v>0.17353642527230065</v>
      </c>
      <c r="AD6" s="47">
        <f>K12</f>
        <v>0.22021486157534978</v>
      </c>
      <c r="AE6" s="47">
        <f>AB6+AC6+AD6</f>
        <v>0.8046181950401059</v>
      </c>
    </row>
    <row r="7" spans="1:31" ht="17" thickBot="1">
      <c r="A7" s="2" t="s">
        <v>11</v>
      </c>
      <c r="B7" s="36"/>
      <c r="C7" s="37"/>
      <c r="D7" s="43"/>
      <c r="E7" s="38"/>
      <c r="F7" s="36"/>
      <c r="G7" s="37"/>
      <c r="H7" s="37"/>
      <c r="I7" s="51"/>
      <c r="J7" s="36"/>
      <c r="K7" s="37"/>
      <c r="L7" s="37"/>
      <c r="M7" s="51"/>
      <c r="N7" s="36"/>
      <c r="O7" s="37"/>
      <c r="P7" s="37"/>
      <c r="Q7" s="51"/>
      <c r="Y7" s="10" t="s">
        <v>45</v>
      </c>
      <c r="Z7" s="47">
        <f>O5</f>
        <v>8.7082596246785687E-2</v>
      </c>
      <c r="AA7" s="47">
        <f>C10+C11+C12</f>
        <v>0.79888209789479192</v>
      </c>
      <c r="AB7" s="47">
        <f>O11</f>
        <v>0.49184493522756978</v>
      </c>
      <c r="AC7" s="47">
        <f>O10</f>
        <v>7.172080073435097E-2</v>
      </c>
      <c r="AD7" s="47">
        <f>O12</f>
        <v>0.20406203077222354</v>
      </c>
      <c r="AE7" s="47">
        <f>AB7+AC7+AD7</f>
        <v>0.76762776673414423</v>
      </c>
    </row>
    <row r="8" spans="1:31">
      <c r="A8" s="2" t="s">
        <v>12</v>
      </c>
      <c r="B8" s="36">
        <v>6</v>
      </c>
      <c r="C8" s="37">
        <f>E8/$E$13</f>
        <v>1.3930244301659442E-2</v>
      </c>
      <c r="D8" s="43">
        <v>0.72</v>
      </c>
      <c r="E8" s="38">
        <v>96</v>
      </c>
      <c r="F8" s="36">
        <v>2</v>
      </c>
      <c r="G8" s="37">
        <f t="shared" ref="G8:G13" si="0">I8/$I$13</f>
        <v>5.6981680389754704E-3</v>
      </c>
      <c r="H8" s="82">
        <v>8.0000000000000004E-4</v>
      </c>
      <c r="I8" s="51">
        <v>32</v>
      </c>
      <c r="J8" s="36">
        <v>3</v>
      </c>
      <c r="K8" s="37">
        <f>M8/$M$13</f>
        <v>7.0092127339872355E-3</v>
      </c>
      <c r="L8" s="37">
        <v>5.1000000000000004E-3</v>
      </c>
      <c r="M8" s="51">
        <v>48</v>
      </c>
      <c r="N8" s="36"/>
      <c r="O8" s="37"/>
      <c r="P8" s="37"/>
      <c r="Q8" s="51"/>
    </row>
    <row r="9" spans="1:31">
      <c r="A9" s="2" t="s">
        <v>76</v>
      </c>
      <c r="B9" s="36"/>
      <c r="C9" s="37"/>
      <c r="D9" s="43"/>
      <c r="E9" s="38"/>
      <c r="F9" s="36">
        <v>1</v>
      </c>
      <c r="G9" s="80">
        <f t="shared" si="0"/>
        <v>1.7806775121798344E-3</v>
      </c>
      <c r="H9" s="82">
        <v>5.9999999999999995E-4</v>
      </c>
      <c r="I9" s="51">
        <v>10</v>
      </c>
      <c r="J9" s="36"/>
      <c r="K9" s="37"/>
      <c r="L9" s="37"/>
      <c r="M9" s="51"/>
      <c r="N9" s="36"/>
      <c r="O9" s="37"/>
      <c r="P9" s="37"/>
      <c r="Q9" s="51"/>
    </row>
    <row r="10" spans="1:31">
      <c r="A10" s="2" t="s">
        <v>13</v>
      </c>
      <c r="B10" s="39"/>
      <c r="C10" s="37">
        <f>E10/$E$13</f>
        <v>0.13869444589551155</v>
      </c>
      <c r="D10" s="43">
        <v>41.15</v>
      </c>
      <c r="E10" s="40">
        <v>955.81</v>
      </c>
      <c r="F10" s="39"/>
      <c r="G10" s="37">
        <f t="shared" si="0"/>
        <v>0</v>
      </c>
      <c r="H10" s="82">
        <v>0</v>
      </c>
      <c r="I10" s="52">
        <v>0</v>
      </c>
      <c r="J10" s="39"/>
      <c r="K10" s="37">
        <f>M10/$M$13</f>
        <v>0.17353642527230065</v>
      </c>
      <c r="L10" s="37">
        <v>0.3695</v>
      </c>
      <c r="M10" s="52">
        <v>1188.4000000000001</v>
      </c>
      <c r="N10" s="36"/>
      <c r="O10" s="37">
        <f>Q10/$Q$13</f>
        <v>7.172080073435097E-2</v>
      </c>
      <c r="P10" s="37">
        <v>0.27250000000000002</v>
      </c>
      <c r="Q10" s="52">
        <v>471.92</v>
      </c>
    </row>
    <row r="11" spans="1:31">
      <c r="A11" s="2" t="s">
        <v>14</v>
      </c>
      <c r="B11" s="39"/>
      <c r="C11" s="37">
        <f>E11/$E$13</f>
        <v>0.39203335132656558</v>
      </c>
      <c r="D11" s="43">
        <v>25.27</v>
      </c>
      <c r="E11" s="40">
        <v>2701.69</v>
      </c>
      <c r="F11" s="39"/>
      <c r="G11" s="37">
        <f t="shared" si="0"/>
        <v>0.50079596284794448</v>
      </c>
      <c r="H11" s="37">
        <v>0.28299999999999997</v>
      </c>
      <c r="I11" s="52">
        <v>2812.39</v>
      </c>
      <c r="J11" s="39"/>
      <c r="K11" s="37">
        <f>M11/$M$13</f>
        <v>0.41086690819245553</v>
      </c>
      <c r="L11" s="37">
        <v>0.16950000000000001</v>
      </c>
      <c r="M11" s="52">
        <v>2813.67</v>
      </c>
      <c r="N11" s="36"/>
      <c r="O11" s="37">
        <f>Q11/$Q$13</f>
        <v>0.49184493522756978</v>
      </c>
      <c r="P11" s="37">
        <v>0.16739999999999999</v>
      </c>
      <c r="Q11" s="52">
        <v>3236.32</v>
      </c>
    </row>
    <row r="12" spans="1:31">
      <c r="A12" s="2" t="s">
        <v>15</v>
      </c>
      <c r="B12" s="39"/>
      <c r="C12" s="37">
        <f>E12/$E$13</f>
        <v>0.26815430067271473</v>
      </c>
      <c r="D12" s="43">
        <v>12.55</v>
      </c>
      <c r="E12" s="40">
        <v>1847.98</v>
      </c>
      <c r="F12" s="39"/>
      <c r="G12" s="37">
        <f t="shared" si="0"/>
        <v>0.2194595999886037</v>
      </c>
      <c r="H12" s="37">
        <v>0.25580000000000003</v>
      </c>
      <c r="I12" s="52">
        <v>1232.45</v>
      </c>
      <c r="J12" s="39"/>
      <c r="K12" s="37">
        <f>M12/$M$13</f>
        <v>0.22021486157534978</v>
      </c>
      <c r="L12" s="37">
        <v>0.1295</v>
      </c>
      <c r="M12" s="52">
        <v>1508.06</v>
      </c>
      <c r="N12" s="36"/>
      <c r="O12" s="37">
        <f>Q12/$Q$13</f>
        <v>0.20406203077222354</v>
      </c>
      <c r="P12" s="37">
        <v>0.32840000000000003</v>
      </c>
      <c r="Q12" s="52">
        <v>1342.72</v>
      </c>
    </row>
    <row r="13" spans="1:31">
      <c r="A13" s="1" t="s">
        <v>16</v>
      </c>
      <c r="B13" s="41"/>
      <c r="C13" s="37">
        <f>E13/$E$13</f>
        <v>1</v>
      </c>
      <c r="D13" s="41"/>
      <c r="E13" s="42">
        <v>6891.48</v>
      </c>
      <c r="F13" s="41"/>
      <c r="G13" s="37">
        <f t="shared" si="0"/>
        <v>1</v>
      </c>
      <c r="H13" s="41"/>
      <c r="I13" s="53">
        <f>SUM(I5:I12)</f>
        <v>5615.8399999999992</v>
      </c>
      <c r="J13" s="41"/>
      <c r="K13" s="41"/>
      <c r="L13" s="41"/>
      <c r="M13" s="53">
        <f>SUM(M5:M12)</f>
        <v>6848.1299999999992</v>
      </c>
      <c r="N13" s="56"/>
      <c r="O13" s="81">
        <f>SUM(O5:O12)</f>
        <v>1</v>
      </c>
      <c r="P13" s="56"/>
      <c r="Q13" s="53">
        <f>SUM(Q5:Q12)</f>
        <v>6579.96</v>
      </c>
    </row>
    <row r="14" spans="1:31">
      <c r="A14" s="12" t="s">
        <v>53</v>
      </c>
      <c r="B14" s="116">
        <f>SUM(C5:C8)</f>
        <v>0.20111790210520819</v>
      </c>
      <c r="C14" s="116"/>
      <c r="D14" s="116"/>
      <c r="E14" s="116"/>
      <c r="F14" s="117">
        <f>SUM(G5:G8)</f>
        <v>0.27796375965127218</v>
      </c>
      <c r="G14" s="117"/>
      <c r="H14" s="117"/>
      <c r="I14" s="117"/>
      <c r="J14" s="118">
        <f>SUM(K5:K8)</f>
        <v>0.19538180495989421</v>
      </c>
      <c r="K14" s="118"/>
      <c r="L14" s="118"/>
      <c r="M14" s="118"/>
      <c r="N14" s="119">
        <f>SUM(O5:O9)</f>
        <v>0.23237223326585571</v>
      </c>
      <c r="O14" s="119"/>
      <c r="P14" s="119"/>
      <c r="Q14" s="119"/>
    </row>
    <row r="15" spans="1:31" ht="14" customHeight="1">
      <c r="A15" s="28" t="s">
        <v>17</v>
      </c>
      <c r="B15" s="99">
        <f>SUM(C10:C12)</f>
        <v>0.79888209789479192</v>
      </c>
      <c r="C15" s="99"/>
      <c r="D15" s="99"/>
      <c r="E15" s="99"/>
      <c r="F15" s="103">
        <f>SUM(G10:G12)</f>
        <v>0.72025556283654812</v>
      </c>
      <c r="G15" s="104"/>
      <c r="H15" s="104"/>
      <c r="I15" s="105"/>
      <c r="J15" s="104">
        <f>SUM(K10:K12)</f>
        <v>0.8046181950401059</v>
      </c>
      <c r="K15" s="104"/>
      <c r="L15" s="104"/>
      <c r="M15" s="104"/>
      <c r="N15" s="103">
        <f>SUM(O10:O12)</f>
        <v>0.76762776673414423</v>
      </c>
      <c r="O15" s="104"/>
      <c r="P15" s="104"/>
      <c r="Q15" s="104"/>
    </row>
    <row r="16" spans="1:31" ht="18.5" customHeight="1">
      <c r="A16" t="s">
        <v>18</v>
      </c>
      <c r="B16" s="164">
        <v>0.70299999999999996</v>
      </c>
      <c r="C16" s="164"/>
      <c r="D16" s="164"/>
      <c r="E16" s="164"/>
      <c r="F16" s="165">
        <v>0.622</v>
      </c>
      <c r="G16" s="166"/>
      <c r="H16" s="166"/>
      <c r="I16" s="167"/>
      <c r="J16" s="168">
        <v>0.61150425690419996</v>
      </c>
      <c r="K16" s="168"/>
      <c r="L16" s="168"/>
      <c r="M16" s="168"/>
      <c r="N16" s="169">
        <v>0.56000000000000005</v>
      </c>
      <c r="O16" s="168"/>
      <c r="P16" s="168"/>
      <c r="Q16" s="168"/>
    </row>
    <row r="17" spans="1:18" hidden="1">
      <c r="A17" t="s">
        <v>19</v>
      </c>
      <c r="B17" s="97">
        <v>361</v>
      </c>
      <c r="C17" s="97"/>
      <c r="D17" s="97"/>
      <c r="E17" s="97"/>
      <c r="F17" s="84">
        <v>436</v>
      </c>
      <c r="G17" s="87"/>
      <c r="H17" s="87"/>
      <c r="I17" s="90"/>
      <c r="J17" s="87">
        <v>465</v>
      </c>
      <c r="K17" s="87"/>
      <c r="L17" s="87"/>
      <c r="M17" s="87"/>
      <c r="N17" s="84">
        <v>560</v>
      </c>
      <c r="O17" s="87"/>
      <c r="P17" s="87"/>
      <c r="Q17" s="87"/>
    </row>
    <row r="18" spans="1:18" hidden="1">
      <c r="A18" t="s">
        <v>20</v>
      </c>
      <c r="B18" s="97" t="s">
        <v>30</v>
      </c>
      <c r="C18" s="97"/>
      <c r="D18" s="97"/>
      <c r="E18" s="97"/>
      <c r="F18" s="84" t="s">
        <v>25</v>
      </c>
      <c r="G18" s="87"/>
      <c r="H18" s="87"/>
      <c r="I18" s="90"/>
      <c r="J18" s="87" t="s">
        <v>25</v>
      </c>
      <c r="K18" s="87"/>
      <c r="L18" s="87"/>
      <c r="M18" s="87"/>
      <c r="N18" s="79"/>
      <c r="O18" s="2" t="s">
        <v>25</v>
      </c>
      <c r="P18" s="2"/>
      <c r="Q18" s="2"/>
    </row>
    <row r="19" spans="1:18" hidden="1">
      <c r="A19" t="s">
        <v>21</v>
      </c>
      <c r="B19" s="97" t="s">
        <v>29</v>
      </c>
      <c r="C19" s="97"/>
      <c r="D19" s="97"/>
      <c r="E19" s="97"/>
      <c r="F19" s="84" t="s">
        <v>25</v>
      </c>
      <c r="G19" s="87"/>
      <c r="H19" s="87"/>
      <c r="I19" s="90"/>
      <c r="J19" s="87" t="s">
        <v>25</v>
      </c>
      <c r="K19" s="87"/>
      <c r="L19" s="87"/>
      <c r="M19" s="87"/>
      <c r="N19" s="79"/>
      <c r="O19" s="2" t="s">
        <v>25</v>
      </c>
      <c r="P19" s="2"/>
      <c r="Q19" s="2"/>
    </row>
    <row r="20" spans="1:18" ht="16">
      <c r="A20" t="s">
        <v>26</v>
      </c>
      <c r="B20" s="164">
        <v>1</v>
      </c>
      <c r="C20" s="164"/>
      <c r="D20" s="164"/>
      <c r="E20" s="164"/>
      <c r="F20" s="169">
        <v>0.99970000000000003</v>
      </c>
      <c r="G20" s="168"/>
      <c r="H20" s="168"/>
      <c r="I20" s="170"/>
      <c r="J20" s="171">
        <f>1-J22/J21</f>
        <v>0.99994599864996625</v>
      </c>
      <c r="K20" s="171"/>
      <c r="L20" s="171"/>
      <c r="M20" s="171"/>
      <c r="N20" s="172">
        <f>1-N22/N21</f>
        <v>0.9996992318381146</v>
      </c>
      <c r="O20" s="172"/>
      <c r="P20" s="172"/>
      <c r="Q20" s="165"/>
    </row>
    <row r="21" spans="1:18">
      <c r="A21" t="s">
        <v>37</v>
      </c>
      <c r="B21" s="100">
        <v>14085</v>
      </c>
      <c r="C21" s="100"/>
      <c r="D21" s="100"/>
      <c r="E21" s="100"/>
      <c r="F21" s="84">
        <v>17156</v>
      </c>
      <c r="G21" s="87"/>
      <c r="H21" s="87"/>
      <c r="I21" s="90"/>
      <c r="J21" s="106">
        <v>13333</v>
      </c>
      <c r="K21" s="87"/>
      <c r="L21" s="87"/>
      <c r="M21" s="87"/>
      <c r="N21" s="107">
        <v>13299.280000000002</v>
      </c>
      <c r="O21" s="108"/>
      <c r="P21" s="108"/>
      <c r="Q21" s="108"/>
    </row>
    <row r="22" spans="1:18">
      <c r="A22" t="s">
        <v>27</v>
      </c>
      <c r="B22" s="97">
        <v>0</v>
      </c>
      <c r="C22" s="97"/>
      <c r="D22" s="97"/>
      <c r="E22" s="97"/>
      <c r="F22" s="84">
        <v>0</v>
      </c>
      <c r="G22" s="87"/>
      <c r="H22" s="87"/>
      <c r="I22" s="90"/>
      <c r="J22" s="87">
        <v>0.72</v>
      </c>
      <c r="K22" s="87"/>
      <c r="L22" s="87"/>
      <c r="M22" s="87"/>
      <c r="N22" s="83">
        <v>4</v>
      </c>
      <c r="O22" s="83"/>
      <c r="P22" s="83"/>
      <c r="Q22" s="84"/>
    </row>
    <row r="23" spans="1:18">
      <c r="A23" t="s">
        <v>19</v>
      </c>
      <c r="B23" s="100">
        <v>281</v>
      </c>
      <c r="C23" s="100"/>
      <c r="D23" s="100"/>
      <c r="E23" s="100"/>
      <c r="F23" s="113">
        <v>485</v>
      </c>
      <c r="G23" s="114"/>
      <c r="H23" s="114"/>
      <c r="I23" s="115"/>
      <c r="J23" s="114">
        <v>380</v>
      </c>
      <c r="K23" s="114"/>
      <c r="L23" s="114"/>
      <c r="M23" s="114"/>
      <c r="N23" s="113">
        <v>564</v>
      </c>
      <c r="O23" s="114"/>
      <c r="P23" s="114"/>
      <c r="Q23" s="114"/>
    </row>
    <row r="24" spans="1:18">
      <c r="A24" t="s">
        <v>28</v>
      </c>
      <c r="B24" s="97">
        <v>0</v>
      </c>
      <c r="C24" s="97"/>
      <c r="D24" s="97"/>
      <c r="E24" s="97"/>
      <c r="F24" s="84">
        <v>0</v>
      </c>
      <c r="G24" s="87"/>
      <c r="H24" s="87"/>
      <c r="I24" s="90"/>
      <c r="J24" s="87">
        <v>3</v>
      </c>
      <c r="K24" s="87"/>
      <c r="L24" s="87"/>
      <c r="M24" s="87"/>
      <c r="N24" s="83">
        <v>18</v>
      </c>
      <c r="O24" s="83"/>
      <c r="P24" s="83"/>
      <c r="Q24" s="84"/>
    </row>
    <row r="25" spans="1:18">
      <c r="B25" s="2" t="s">
        <v>34</v>
      </c>
      <c r="C25" s="2" t="s">
        <v>35</v>
      </c>
      <c r="D25" s="90" t="s">
        <v>33</v>
      </c>
      <c r="E25" s="84"/>
      <c r="F25" s="2" t="s">
        <v>34</v>
      </c>
      <c r="G25" s="2" t="s">
        <v>36</v>
      </c>
      <c r="H25" s="90" t="s">
        <v>33</v>
      </c>
      <c r="I25" s="84"/>
      <c r="J25" s="2" t="s">
        <v>34</v>
      </c>
      <c r="K25" s="2" t="s">
        <v>32</v>
      </c>
      <c r="L25" s="90" t="s">
        <v>33</v>
      </c>
      <c r="M25" s="84"/>
      <c r="N25" s="2" t="s">
        <v>77</v>
      </c>
      <c r="O25" s="2" t="s">
        <v>32</v>
      </c>
      <c r="P25" s="87" t="s">
        <v>33</v>
      </c>
      <c r="Q25" s="87"/>
    </row>
    <row r="26" spans="1:18">
      <c r="A26" t="s">
        <v>22</v>
      </c>
      <c r="B26" s="36">
        <v>804.8</v>
      </c>
      <c r="C26" s="36">
        <f>SUM(C27+C28)</f>
        <v>9212.5499999999993</v>
      </c>
      <c r="D26" s="95">
        <f>B26/(B26+C26)</f>
        <v>8.0340609043309863E-2</v>
      </c>
      <c r="E26" s="96"/>
      <c r="F26" s="44"/>
      <c r="G26" s="44"/>
      <c r="H26" s="91"/>
      <c r="I26" s="92"/>
      <c r="J26" s="44"/>
      <c r="K26" s="44"/>
      <c r="L26" s="120"/>
      <c r="M26" s="121"/>
      <c r="N26" s="44"/>
      <c r="O26" s="45"/>
      <c r="P26" s="122"/>
      <c r="Q26" s="122"/>
    </row>
    <row r="27" spans="1:18">
      <c r="A27" s="6" t="s">
        <v>23</v>
      </c>
      <c r="B27" s="36">
        <v>325.58999999999997</v>
      </c>
      <c r="C27" s="36">
        <v>3301.55</v>
      </c>
      <c r="D27" s="88">
        <f>B27/(B27+C27)</f>
        <v>8.9764938767182945E-2</v>
      </c>
      <c r="E27" s="89"/>
      <c r="F27" s="46"/>
      <c r="G27" s="46"/>
      <c r="H27" s="91"/>
      <c r="I27" s="92"/>
      <c r="J27" s="36">
        <v>373</v>
      </c>
      <c r="K27" s="39">
        <v>3676.59</v>
      </c>
      <c r="L27" s="88">
        <f>J27/(K27+J27)</f>
        <v>9.2108089954785546E-2</v>
      </c>
      <c r="M27" s="89"/>
      <c r="N27" s="39">
        <v>56.48</v>
      </c>
      <c r="O27" s="39">
        <v>1135</v>
      </c>
      <c r="P27" s="123">
        <f>N27/(N27+O27)</f>
        <v>4.7403229596803972E-2</v>
      </c>
      <c r="Q27" s="123"/>
    </row>
    <row r="28" spans="1:18">
      <c r="A28" s="6" t="s">
        <v>24</v>
      </c>
      <c r="B28" s="36">
        <v>479.21</v>
      </c>
      <c r="C28" s="36">
        <v>5911</v>
      </c>
      <c r="D28" s="88">
        <f>B28/(B28+C28)</f>
        <v>7.4991275717073452E-2</v>
      </c>
      <c r="E28" s="89"/>
      <c r="F28" s="36">
        <v>737</v>
      </c>
      <c r="G28" s="36">
        <v>6713.96</v>
      </c>
      <c r="H28" s="93">
        <f>F28/G28</f>
        <v>0.10977128252179041</v>
      </c>
      <c r="I28" s="94"/>
      <c r="J28" s="36">
        <v>282</v>
      </c>
      <c r="K28" s="39">
        <v>4240.99</v>
      </c>
      <c r="L28" s="88">
        <f>J28/(K28+J28)</f>
        <v>6.2348136962496054E-2</v>
      </c>
      <c r="M28" s="89"/>
      <c r="N28" s="36">
        <v>197</v>
      </c>
      <c r="O28" s="39">
        <v>4832</v>
      </c>
      <c r="P28" s="123">
        <f>N28/(N28+O28)</f>
        <v>3.917279777291708E-2</v>
      </c>
      <c r="Q28" s="123"/>
    </row>
    <row r="30" spans="1:18">
      <c r="A30" t="s">
        <v>78</v>
      </c>
      <c r="B30" s="2"/>
      <c r="C30" s="2"/>
      <c r="D30" s="2"/>
      <c r="E30" s="27">
        <f>5*E5/(E10+E11)</f>
        <v>0.78332194121667809</v>
      </c>
      <c r="F30" s="2"/>
      <c r="G30" s="2"/>
      <c r="H30" s="2"/>
      <c r="I30" s="27">
        <f>I5*5/(I10+I11)</f>
        <v>1.018706509410146</v>
      </c>
      <c r="J30" s="44"/>
      <c r="K30" s="44"/>
      <c r="L30" s="44"/>
      <c r="M30" s="27">
        <f>M5*5/(M10+M11)</f>
        <v>0.71587953234201296</v>
      </c>
      <c r="N30" s="44"/>
      <c r="O30" s="44"/>
      <c r="P30" s="44"/>
      <c r="Q30" s="27">
        <f>Q5*5/(Q10+Q11)</f>
        <v>0.77260371496990476</v>
      </c>
      <c r="R30" s="46"/>
    </row>
    <row r="35" spans="1:17">
      <c r="A35" s="111" t="s">
        <v>71</v>
      </c>
      <c r="B35" s="111"/>
      <c r="C35" s="111"/>
      <c r="D35" s="111"/>
      <c r="E35" s="111"/>
      <c r="F35" s="111"/>
      <c r="G35" s="111"/>
      <c r="H35" s="111"/>
      <c r="I35" s="111"/>
      <c r="J35" s="111"/>
      <c r="K35" s="111"/>
      <c r="L35" s="111"/>
      <c r="M35" s="111"/>
      <c r="N35" s="111"/>
      <c r="O35" s="111"/>
      <c r="P35" s="111"/>
      <c r="Q35" s="111"/>
    </row>
    <row r="36" spans="1:17">
      <c r="A36" s="112"/>
      <c r="B36" s="112"/>
      <c r="C36" s="112"/>
      <c r="D36" s="112"/>
      <c r="E36" s="112"/>
      <c r="F36" s="112"/>
      <c r="G36" s="112"/>
      <c r="H36" s="112"/>
      <c r="I36" s="112"/>
      <c r="J36" s="112"/>
      <c r="K36" s="112"/>
      <c r="L36" s="112"/>
      <c r="M36" s="112"/>
      <c r="N36" s="112"/>
      <c r="O36" s="112"/>
      <c r="P36" s="112"/>
      <c r="Q36" s="112"/>
    </row>
    <row r="37" spans="1:17">
      <c r="A37" s="1"/>
      <c r="B37" s="85" t="s">
        <v>0</v>
      </c>
      <c r="C37" s="85"/>
      <c r="D37" s="85"/>
      <c r="E37" s="85"/>
      <c r="F37" s="85" t="s">
        <v>1</v>
      </c>
      <c r="G37" s="85"/>
      <c r="H37" s="85"/>
      <c r="I37" s="85"/>
      <c r="J37" s="85" t="s">
        <v>2</v>
      </c>
      <c r="K37" s="85"/>
      <c r="L37" s="85"/>
      <c r="M37" s="85"/>
      <c r="N37" s="86" t="s">
        <v>3</v>
      </c>
      <c r="O37" s="86"/>
      <c r="P37" s="86"/>
      <c r="Q37" s="86"/>
    </row>
    <row r="38" spans="1:17">
      <c r="A38" s="1" t="s">
        <v>4</v>
      </c>
      <c r="B38" s="1" t="s">
        <v>5</v>
      </c>
      <c r="C38" s="1" t="s">
        <v>6</v>
      </c>
      <c r="D38" s="1" t="s">
        <v>69</v>
      </c>
      <c r="E38" s="1" t="s">
        <v>7</v>
      </c>
      <c r="F38" s="1" t="s">
        <v>5</v>
      </c>
      <c r="G38" s="1" t="s">
        <v>6</v>
      </c>
      <c r="H38" s="1" t="s">
        <v>31</v>
      </c>
      <c r="I38" s="1" t="s">
        <v>7</v>
      </c>
      <c r="J38" s="1" t="s">
        <v>5</v>
      </c>
      <c r="K38" s="1" t="s">
        <v>6</v>
      </c>
      <c r="L38" s="1" t="s">
        <v>31</v>
      </c>
      <c r="M38" s="1" t="s">
        <v>7</v>
      </c>
      <c r="N38" s="1" t="s">
        <v>5</v>
      </c>
      <c r="O38" s="1" t="s">
        <v>8</v>
      </c>
      <c r="P38" s="1" t="s">
        <v>31</v>
      </c>
      <c r="Q38" s="1" t="s">
        <v>7</v>
      </c>
    </row>
    <row r="39" spans="1:17">
      <c r="A39" s="2" t="s">
        <v>9</v>
      </c>
      <c r="B39" s="36">
        <v>1</v>
      </c>
      <c r="C39" s="37">
        <f>E39/$E$46</f>
        <v>7.9866081446677187E-2</v>
      </c>
      <c r="D39" s="39">
        <v>70.19</v>
      </c>
      <c r="E39" s="38">
        <v>573</v>
      </c>
      <c r="F39" s="36">
        <v>1</v>
      </c>
      <c r="G39" s="37">
        <f>I39/$I$46</f>
        <v>0.10221483310262157</v>
      </c>
      <c r="H39" s="54">
        <v>74.5</v>
      </c>
      <c r="I39" s="51">
        <v>573</v>
      </c>
      <c r="J39" s="36">
        <v>1</v>
      </c>
      <c r="K39" s="37">
        <f>M39/$M$46</f>
        <v>8.3090080958450621E-2</v>
      </c>
      <c r="L39" s="37"/>
      <c r="M39" s="51">
        <v>573</v>
      </c>
      <c r="N39" s="36">
        <v>1</v>
      </c>
      <c r="O39" s="37">
        <f>Q39/$Q$46</f>
        <v>8.3718198407747066E-2</v>
      </c>
      <c r="P39" s="36">
        <v>87.18</v>
      </c>
      <c r="Q39" s="51">
        <v>573</v>
      </c>
    </row>
    <row r="40" spans="1:17">
      <c r="A40" s="2" t="s">
        <v>10</v>
      </c>
      <c r="B40" s="36">
        <v>3</v>
      </c>
      <c r="C40" s="37">
        <f t="shared" ref="C40:C46" si="1">E40/$E$46</f>
        <v>9.993713856416675E-2</v>
      </c>
      <c r="D40" s="43">
        <v>20.010000000000002</v>
      </c>
      <c r="E40" s="38">
        <v>717</v>
      </c>
      <c r="F40" s="36">
        <v>4</v>
      </c>
      <c r="G40" s="37">
        <f t="shared" ref="G40:G46" si="2">I40/$I$46</f>
        <v>0.17053644056912079</v>
      </c>
      <c r="H40" s="54">
        <v>51.2</v>
      </c>
      <c r="I40" s="51">
        <v>956</v>
      </c>
      <c r="J40" s="36">
        <v>3</v>
      </c>
      <c r="K40" s="37">
        <f t="shared" ref="K40:K46" si="3">M40/$M$46</f>
        <v>0.10397135784853245</v>
      </c>
      <c r="L40" s="37"/>
      <c r="M40" s="51">
        <v>717</v>
      </c>
      <c r="N40" s="36">
        <v>4</v>
      </c>
      <c r="O40" s="37">
        <f t="shared" ref="O40:O46" si="4">Q40/$Q$46</f>
        <v>0.13967643573788169</v>
      </c>
      <c r="P40" s="36">
        <v>55.54</v>
      </c>
      <c r="Q40" s="51">
        <v>956</v>
      </c>
    </row>
    <row r="41" spans="1:17">
      <c r="A41" s="2" t="s">
        <v>11</v>
      </c>
      <c r="B41" s="36">
        <v>0</v>
      </c>
      <c r="C41" s="37">
        <f t="shared" si="1"/>
        <v>0</v>
      </c>
      <c r="D41" s="43">
        <v>0</v>
      </c>
      <c r="E41" s="38">
        <v>0</v>
      </c>
      <c r="F41" s="36">
        <v>3</v>
      </c>
      <c r="G41" s="37">
        <f t="shared" si="2"/>
        <v>1.873046679890971E-2</v>
      </c>
      <c r="H41" s="54">
        <v>0.39</v>
      </c>
      <c r="I41" s="51">
        <v>105</v>
      </c>
      <c r="J41" s="36">
        <v>2</v>
      </c>
      <c r="K41" s="37">
        <f t="shared" si="3"/>
        <v>1.0150620710456446E-2</v>
      </c>
      <c r="L41" s="37"/>
      <c r="M41" s="51">
        <v>70</v>
      </c>
      <c r="N41" s="36">
        <v>0</v>
      </c>
      <c r="O41" s="37">
        <f t="shared" si="4"/>
        <v>0</v>
      </c>
      <c r="P41" s="36">
        <v>0</v>
      </c>
      <c r="Q41" s="51">
        <v>0</v>
      </c>
    </row>
    <row r="42" spans="1:17">
      <c r="A42" s="2" t="s">
        <v>12</v>
      </c>
      <c r="B42" s="36">
        <v>10</v>
      </c>
      <c r="C42" s="37">
        <f t="shared" si="1"/>
        <v>2.2301174574988397E-2</v>
      </c>
      <c r="D42" s="43">
        <v>0.78</v>
      </c>
      <c r="E42" s="38">
        <v>160</v>
      </c>
      <c r="F42" s="36">
        <v>0</v>
      </c>
      <c r="G42" s="37">
        <f t="shared" si="2"/>
        <v>0</v>
      </c>
      <c r="H42" s="54">
        <v>0</v>
      </c>
      <c r="I42" s="51">
        <v>0</v>
      </c>
      <c r="J42" s="36">
        <v>1</v>
      </c>
      <c r="K42" s="37">
        <f t="shared" si="3"/>
        <v>2.3201418766757589E-3</v>
      </c>
      <c r="L42" s="37"/>
      <c r="M42" s="51">
        <v>16</v>
      </c>
      <c r="N42" s="36">
        <v>3</v>
      </c>
      <c r="O42" s="37">
        <f t="shared" si="4"/>
        <v>7.0130427985547281E-3</v>
      </c>
      <c r="P42" s="36">
        <v>0.09</v>
      </c>
      <c r="Q42" s="51">
        <v>48</v>
      </c>
    </row>
    <row r="43" spans="1:17">
      <c r="A43" s="2" t="s">
        <v>13</v>
      </c>
      <c r="B43" s="39"/>
      <c r="C43" s="37">
        <f t="shared" si="1"/>
        <v>0.14363489632044557</v>
      </c>
      <c r="D43" s="43">
        <v>41.14</v>
      </c>
      <c r="E43" s="40">
        <v>1030.51</v>
      </c>
      <c r="F43" s="57"/>
      <c r="G43" s="37">
        <f t="shared" si="2"/>
        <v>0</v>
      </c>
      <c r="H43" s="54">
        <v>0</v>
      </c>
      <c r="I43" s="52">
        <v>0</v>
      </c>
      <c r="J43" s="57"/>
      <c r="K43" s="37">
        <f t="shared" si="3"/>
        <v>0.276681269059603</v>
      </c>
      <c r="L43" s="37"/>
      <c r="M43" s="52">
        <v>1908.03</v>
      </c>
      <c r="N43" s="36"/>
      <c r="O43" s="37">
        <f t="shared" si="4"/>
        <v>0.10389238485825618</v>
      </c>
      <c r="P43" s="36">
        <v>27.28</v>
      </c>
      <c r="Q43" s="52">
        <v>711.08</v>
      </c>
    </row>
    <row r="44" spans="1:17">
      <c r="A44" s="2" t="s">
        <v>14</v>
      </c>
      <c r="B44" s="39"/>
      <c r="C44" s="37">
        <f t="shared" si="1"/>
        <v>0.40447361561974265</v>
      </c>
      <c r="D44" s="43">
        <v>24.98</v>
      </c>
      <c r="E44" s="40">
        <v>2901.9</v>
      </c>
      <c r="F44" s="57"/>
      <c r="G44" s="37">
        <f t="shared" si="2"/>
        <v>0.52160960712399929</v>
      </c>
      <c r="H44" s="39">
        <v>28.21</v>
      </c>
      <c r="I44" s="52">
        <v>2924.06</v>
      </c>
      <c r="J44" s="57"/>
      <c r="K44" s="37">
        <f t="shared" si="3"/>
        <v>0.26900159944780627</v>
      </c>
      <c r="L44" s="37"/>
      <c r="M44" s="52">
        <v>1855.07</v>
      </c>
      <c r="N44" s="36"/>
      <c r="O44" s="37">
        <f t="shared" si="4"/>
        <v>0.46631036513115121</v>
      </c>
      <c r="P44" s="36">
        <v>16.739999999999998</v>
      </c>
      <c r="Q44" s="52">
        <v>3191.61</v>
      </c>
    </row>
    <row r="45" spans="1:17">
      <c r="A45" s="2" t="s">
        <v>15</v>
      </c>
      <c r="B45" s="39"/>
      <c r="C45" s="37">
        <f t="shared" si="1"/>
        <v>0.2497870934739794</v>
      </c>
      <c r="D45" s="43">
        <v>13.26</v>
      </c>
      <c r="E45" s="40">
        <v>1792.1</v>
      </c>
      <c r="F45" s="57"/>
      <c r="G45" s="37">
        <f t="shared" si="2"/>
        <v>0.21761948253963728</v>
      </c>
      <c r="H45" s="39">
        <v>40.83</v>
      </c>
      <c r="I45" s="52">
        <v>1219.94</v>
      </c>
      <c r="J45" s="57"/>
      <c r="K45" s="37">
        <f t="shared" si="3"/>
        <v>0.25478493009847553</v>
      </c>
      <c r="L45" s="37"/>
      <c r="M45" s="52">
        <v>1757.03</v>
      </c>
      <c r="N45" s="36"/>
      <c r="O45" s="37">
        <f t="shared" si="4"/>
        <v>0.19938957306640914</v>
      </c>
      <c r="P45" s="36">
        <v>43.59</v>
      </c>
      <c r="Q45" s="52">
        <v>1364.7</v>
      </c>
    </row>
    <row r="46" spans="1:17">
      <c r="A46" s="1" t="s">
        <v>16</v>
      </c>
      <c r="B46" s="41"/>
      <c r="C46" s="37">
        <f t="shared" si="1"/>
        <v>1</v>
      </c>
      <c r="D46" s="78"/>
      <c r="E46" s="42">
        <f>SUM(E39:E45)</f>
        <v>7174.51</v>
      </c>
      <c r="F46" s="58"/>
      <c r="G46" s="37">
        <f t="shared" si="2"/>
        <v>1</v>
      </c>
      <c r="H46" s="41"/>
      <c r="I46" s="53">
        <v>5605.8399999999992</v>
      </c>
      <c r="J46" s="58"/>
      <c r="K46" s="37">
        <f t="shared" si="3"/>
        <v>1</v>
      </c>
      <c r="L46" s="41"/>
      <c r="M46" s="53">
        <f>SUM(M39:M45)</f>
        <v>6896.1299999999992</v>
      </c>
      <c r="N46" s="56"/>
      <c r="O46" s="37">
        <f t="shared" si="4"/>
        <v>1</v>
      </c>
      <c r="P46" s="56"/>
      <c r="Q46" s="53">
        <f>SUM(Q39:Q45)</f>
        <v>6844.39</v>
      </c>
    </row>
    <row r="47" spans="1:17">
      <c r="A47" s="12" t="s">
        <v>53</v>
      </c>
      <c r="B47" s="13"/>
      <c r="C47" s="15">
        <f>SUM(C39:C42)</f>
        <v>0.20210439458583232</v>
      </c>
      <c r="D47" s="15"/>
      <c r="E47" s="15"/>
      <c r="F47" s="15"/>
      <c r="G47" s="55">
        <f>SUM(G39:G42)</f>
        <v>0.29148174047065206</v>
      </c>
      <c r="H47" s="55"/>
      <c r="I47" s="15"/>
      <c r="J47" s="15"/>
      <c r="K47" s="15">
        <f>SUM(K39:K42)</f>
        <v>0.19953220139411526</v>
      </c>
      <c r="L47" s="15"/>
      <c r="M47" s="15"/>
      <c r="N47" s="15"/>
      <c r="O47" s="15">
        <f>SUM(O39:O42)</f>
        <v>0.23040767694418349</v>
      </c>
      <c r="P47" s="14"/>
      <c r="Q47" s="14"/>
    </row>
    <row r="48" spans="1:17">
      <c r="A48" s="28" t="s">
        <v>17</v>
      </c>
      <c r="B48" s="104">
        <f>SUM(C43:C45)</f>
        <v>0.79789560541416771</v>
      </c>
      <c r="C48" s="104"/>
      <c r="D48" s="104"/>
      <c r="E48" s="104"/>
      <c r="F48" s="104">
        <f>SUM(G43:G45)</f>
        <v>0.73922908966363654</v>
      </c>
      <c r="G48" s="104"/>
      <c r="H48" s="104"/>
      <c r="I48" s="104"/>
      <c r="J48" s="104">
        <f>SUM(K43:K45)</f>
        <v>0.80046779860588479</v>
      </c>
      <c r="K48" s="104"/>
      <c r="L48" s="104"/>
      <c r="M48" s="104"/>
      <c r="N48" s="104">
        <f>SUM(O43:O45)</f>
        <v>0.76959232305581649</v>
      </c>
      <c r="O48" s="104"/>
      <c r="P48" s="104"/>
      <c r="Q48" s="104"/>
    </row>
    <row r="49" spans="1:17">
      <c r="A49" t="s">
        <v>18</v>
      </c>
      <c r="B49" s="104">
        <v>0.72</v>
      </c>
      <c r="C49" s="104"/>
      <c r="D49" s="104"/>
      <c r="E49" s="104"/>
      <c r="F49" s="102">
        <v>0.59</v>
      </c>
      <c r="G49" s="102"/>
      <c r="H49" s="102"/>
      <c r="I49" s="102"/>
      <c r="J49" s="104">
        <v>0.66</v>
      </c>
      <c r="K49" s="104"/>
      <c r="L49" s="104"/>
      <c r="M49" s="104"/>
      <c r="N49" s="101">
        <v>0.56000000000000005</v>
      </c>
      <c r="O49" s="101"/>
      <c r="P49" s="101"/>
      <c r="Q49" s="101"/>
    </row>
    <row r="50" spans="1:17">
      <c r="A50" t="s">
        <v>19</v>
      </c>
      <c r="B50" s="87">
        <v>271</v>
      </c>
      <c r="C50" s="87"/>
      <c r="D50" s="87"/>
      <c r="E50" s="87"/>
      <c r="F50" s="87">
        <v>505</v>
      </c>
      <c r="G50" s="87"/>
      <c r="H50" s="87"/>
      <c r="I50" s="87"/>
      <c r="J50" s="87">
        <v>356</v>
      </c>
      <c r="K50" s="87"/>
      <c r="L50" s="87"/>
      <c r="M50" s="87"/>
      <c r="N50" s="87">
        <v>557</v>
      </c>
      <c r="O50" s="87"/>
      <c r="P50" s="87"/>
      <c r="Q50" s="87"/>
    </row>
    <row r="51" spans="1:17">
      <c r="A51" t="s">
        <v>20</v>
      </c>
      <c r="B51" s="87">
        <v>77</v>
      </c>
      <c r="C51" s="87"/>
      <c r="D51" s="87"/>
      <c r="E51" s="87"/>
      <c r="F51" s="87">
        <v>69</v>
      </c>
      <c r="G51" s="87"/>
      <c r="H51" s="87"/>
      <c r="I51" s="87"/>
      <c r="J51" s="87">
        <v>84</v>
      </c>
      <c r="K51" s="87"/>
      <c r="L51" s="87"/>
      <c r="M51" s="87"/>
      <c r="N51" s="90">
        <v>81</v>
      </c>
      <c r="O51" s="83"/>
      <c r="P51" s="83"/>
      <c r="Q51" s="84"/>
    </row>
    <row r="52" spans="1:17">
      <c r="A52" t="s">
        <v>21</v>
      </c>
      <c r="B52" s="87">
        <v>64</v>
      </c>
      <c r="C52" s="87"/>
      <c r="D52" s="87"/>
      <c r="E52" s="87"/>
      <c r="F52" s="87">
        <v>60</v>
      </c>
      <c r="G52" s="87"/>
      <c r="H52" s="87"/>
      <c r="I52" s="87"/>
      <c r="J52" s="87">
        <v>75</v>
      </c>
      <c r="K52" s="87"/>
      <c r="L52" s="87"/>
      <c r="M52" s="87"/>
      <c r="N52" s="90">
        <v>73</v>
      </c>
      <c r="O52" s="83"/>
      <c r="P52" s="83"/>
      <c r="Q52" s="84"/>
    </row>
    <row r="53" spans="1:17">
      <c r="A53" t="s">
        <v>26</v>
      </c>
      <c r="B53" s="98">
        <v>1</v>
      </c>
      <c r="C53" s="98"/>
      <c r="D53" s="98"/>
      <c r="E53" s="98"/>
      <c r="F53" s="98">
        <v>1</v>
      </c>
      <c r="G53" s="98"/>
      <c r="H53" s="98"/>
      <c r="I53" s="98"/>
      <c r="J53" s="98">
        <v>1</v>
      </c>
      <c r="K53" s="98"/>
      <c r="L53" s="98"/>
      <c r="M53" s="98"/>
      <c r="N53" s="124">
        <f>1-N55/N54</f>
        <v>0.99994371904547497</v>
      </c>
      <c r="O53" s="109"/>
      <c r="P53" s="109"/>
      <c r="Q53" s="110"/>
    </row>
    <row r="54" spans="1:17">
      <c r="A54" t="s">
        <v>37</v>
      </c>
      <c r="B54" s="114">
        <v>14201</v>
      </c>
      <c r="C54" s="114"/>
      <c r="D54" s="114"/>
      <c r="E54" s="114"/>
      <c r="F54" s="87">
        <v>13821</v>
      </c>
      <c r="G54" s="87"/>
      <c r="H54" s="87"/>
      <c r="I54" s="87"/>
      <c r="J54" s="87">
        <v>13344</v>
      </c>
      <c r="K54" s="87"/>
      <c r="L54" s="87"/>
      <c r="M54" s="87"/>
      <c r="N54" s="87">
        <v>13326</v>
      </c>
      <c r="O54" s="87"/>
      <c r="P54" s="87"/>
      <c r="Q54" s="87"/>
    </row>
    <row r="55" spans="1:17">
      <c r="A55" t="s">
        <v>27</v>
      </c>
      <c r="B55" s="87">
        <v>0</v>
      </c>
      <c r="C55" s="87"/>
      <c r="D55" s="87"/>
      <c r="E55" s="87"/>
      <c r="F55" s="87">
        <v>0</v>
      </c>
      <c r="G55" s="87"/>
      <c r="H55" s="87"/>
      <c r="I55" s="87"/>
      <c r="J55" s="87">
        <v>0</v>
      </c>
      <c r="K55" s="87"/>
      <c r="L55" s="87"/>
      <c r="M55" s="87"/>
      <c r="N55" s="90">
        <v>0.75</v>
      </c>
      <c r="O55" s="83"/>
      <c r="P55" s="83"/>
      <c r="Q55" s="84"/>
    </row>
    <row r="56" spans="1:17">
      <c r="A56" t="s">
        <v>28</v>
      </c>
      <c r="B56" s="87">
        <v>0</v>
      </c>
      <c r="C56" s="87"/>
      <c r="D56" s="87"/>
      <c r="E56" s="87"/>
      <c r="F56" s="87">
        <v>0</v>
      </c>
      <c r="G56" s="87"/>
      <c r="H56" s="87"/>
      <c r="I56" s="87"/>
      <c r="J56" s="87">
        <v>0</v>
      </c>
      <c r="K56" s="87"/>
      <c r="L56" s="87"/>
      <c r="M56" s="87"/>
      <c r="N56" s="90">
        <v>3</v>
      </c>
      <c r="O56" s="83"/>
      <c r="P56" s="83"/>
      <c r="Q56" s="84"/>
    </row>
    <row r="57" spans="1:17">
      <c r="B57" s="2" t="s">
        <v>34</v>
      </c>
      <c r="C57" s="2" t="s">
        <v>35</v>
      </c>
      <c r="D57" s="90" t="s">
        <v>33</v>
      </c>
      <c r="E57" s="84"/>
      <c r="F57" s="2" t="s">
        <v>34</v>
      </c>
      <c r="G57" s="2" t="s">
        <v>36</v>
      </c>
      <c r="H57" s="90" t="s">
        <v>33</v>
      </c>
      <c r="I57" s="84"/>
      <c r="J57" s="2" t="s">
        <v>34</v>
      </c>
      <c r="K57" s="2" t="s">
        <v>35</v>
      </c>
      <c r="L57" s="90" t="s">
        <v>33</v>
      </c>
      <c r="M57" s="84"/>
      <c r="N57" s="2" t="s">
        <v>34</v>
      </c>
      <c r="O57" s="2" t="s">
        <v>35</v>
      </c>
      <c r="P57" s="87" t="s">
        <v>33</v>
      </c>
      <c r="Q57" s="87"/>
    </row>
    <row r="58" spans="1:17">
      <c r="A58" t="s">
        <v>22</v>
      </c>
      <c r="B58" s="59"/>
      <c r="C58" s="36"/>
      <c r="D58" s="115"/>
      <c r="E58" s="113"/>
      <c r="F58" s="36">
        <v>139</v>
      </c>
      <c r="G58" s="36"/>
      <c r="H58" s="115"/>
      <c r="I58" s="113"/>
      <c r="J58" s="36"/>
      <c r="K58" s="49"/>
      <c r="L58" s="88">
        <v>0.13</v>
      </c>
      <c r="M58" s="89"/>
      <c r="N58" s="59">
        <f>SUM(N59:N60)</f>
        <v>278.92</v>
      </c>
      <c r="O58" s="36"/>
      <c r="P58" s="115"/>
      <c r="Q58" s="113"/>
    </row>
    <row r="59" spans="1:17">
      <c r="A59" s="6" t="s">
        <v>23</v>
      </c>
      <c r="B59" s="60">
        <v>88.23</v>
      </c>
      <c r="C59" s="36">
        <v>1706.99</v>
      </c>
      <c r="D59" s="88">
        <f>B59/(B59+C59)</f>
        <v>4.9147179732846116E-2</v>
      </c>
      <c r="E59" s="89"/>
      <c r="F59" s="49">
        <v>0</v>
      </c>
      <c r="G59" s="49">
        <v>0</v>
      </c>
      <c r="H59" s="115">
        <v>0</v>
      </c>
      <c r="I59" s="113"/>
      <c r="J59" s="36">
        <v>857.7</v>
      </c>
      <c r="K59" s="36">
        <v>5645.08</v>
      </c>
      <c r="L59" s="88">
        <f>J59/(J59+K59)</f>
        <v>0.13189743463564815</v>
      </c>
      <c r="M59" s="89"/>
      <c r="N59" s="60">
        <v>88.23</v>
      </c>
      <c r="O59" s="36">
        <v>1706.99</v>
      </c>
      <c r="P59" s="88">
        <f>N59/O59</f>
        <v>5.1687473271665334E-2</v>
      </c>
      <c r="Q59" s="89"/>
    </row>
    <row r="60" spans="1:17">
      <c r="A60" s="6" t="s">
        <v>24</v>
      </c>
      <c r="B60" s="60">
        <v>190.69</v>
      </c>
      <c r="C60" s="36">
        <v>4769.75</v>
      </c>
      <c r="D60" s="88">
        <f>B60/(B60+C60)</f>
        <v>3.8442154325019559E-2</v>
      </c>
      <c r="E60" s="89"/>
      <c r="F60" s="36">
        <v>952.72</v>
      </c>
      <c r="G60" s="36">
        <v>6794.47</v>
      </c>
      <c r="H60" s="93">
        <f>F60/G60</f>
        <v>0.14021991413605475</v>
      </c>
      <c r="I60" s="94"/>
      <c r="J60" s="36">
        <v>361.43</v>
      </c>
      <c r="K60" s="36">
        <v>2621.1799999999998</v>
      </c>
      <c r="L60" s="88">
        <f>J60/(J60+K60)</f>
        <v>0.12117910152517428</v>
      </c>
      <c r="M60" s="89"/>
      <c r="N60" s="60">
        <v>190.69</v>
      </c>
      <c r="O60" s="36">
        <v>4769.75</v>
      </c>
      <c r="P60" s="88">
        <f>N60/O60</f>
        <v>3.9979034540594371E-2</v>
      </c>
      <c r="Q60" s="89"/>
    </row>
    <row r="62" spans="1:17">
      <c r="A62" t="s">
        <v>59</v>
      </c>
      <c r="B62" s="126">
        <f>5*E39/(E43+E44)</f>
        <v>0.72856085708255247</v>
      </c>
      <c r="C62" s="127"/>
      <c r="D62" s="127"/>
      <c r="E62" s="128"/>
      <c r="F62" s="126">
        <f>I39*5/(I43+I44)</f>
        <v>0.97980205604536164</v>
      </c>
      <c r="G62" s="127"/>
      <c r="H62" s="127"/>
      <c r="I62" s="128"/>
      <c r="J62" s="126">
        <f>M39*5/(M43+M44)</f>
        <v>0.76134038425765993</v>
      </c>
      <c r="K62" s="127"/>
      <c r="L62" s="127"/>
      <c r="M62" s="128"/>
      <c r="N62" s="126">
        <f>Q39*5/(Q43+Q44)</f>
        <v>0.73410903761251856</v>
      </c>
      <c r="O62" s="127"/>
      <c r="P62" s="127"/>
      <c r="Q62" s="128"/>
    </row>
    <row r="67" spans="1:17">
      <c r="A67" s="129" t="s">
        <v>72</v>
      </c>
      <c r="B67" s="129"/>
      <c r="C67" s="129"/>
      <c r="D67" s="129"/>
      <c r="E67" s="129"/>
      <c r="F67" s="129"/>
      <c r="G67" s="129"/>
      <c r="H67" s="129"/>
      <c r="I67" s="129"/>
      <c r="J67" s="129"/>
      <c r="K67" s="129"/>
      <c r="L67" s="129"/>
      <c r="M67" s="129"/>
      <c r="N67" s="129"/>
      <c r="O67" s="129"/>
      <c r="P67" s="129"/>
      <c r="Q67" s="129"/>
    </row>
    <row r="68" spans="1:17">
      <c r="A68" s="130"/>
      <c r="B68" s="130"/>
      <c r="C68" s="130"/>
      <c r="D68" s="130"/>
      <c r="E68" s="130"/>
      <c r="F68" s="130"/>
      <c r="G68" s="130"/>
      <c r="H68" s="130"/>
      <c r="I68" s="130"/>
      <c r="J68" s="130"/>
      <c r="K68" s="130"/>
      <c r="L68" s="130"/>
      <c r="M68" s="130"/>
      <c r="N68" s="130"/>
      <c r="O68" s="130"/>
      <c r="P68" s="130"/>
      <c r="Q68" s="130"/>
    </row>
    <row r="69" spans="1:17" ht="16" thickBot="1">
      <c r="A69" s="76" t="s">
        <v>73</v>
      </c>
    </row>
    <row r="70" spans="1:17">
      <c r="A70" s="64" t="s">
        <v>4</v>
      </c>
      <c r="B70" s="136" t="s">
        <v>7</v>
      </c>
      <c r="C70" s="137"/>
      <c r="D70" s="65" t="s">
        <v>69</v>
      </c>
      <c r="E70" s="66"/>
    </row>
    <row r="71" spans="1:17">
      <c r="A71" s="67" t="s">
        <v>13</v>
      </c>
      <c r="B71" s="138">
        <v>1520.95</v>
      </c>
      <c r="C71" s="139"/>
      <c r="D71" s="63">
        <v>23</v>
      </c>
      <c r="E71" s="68"/>
    </row>
    <row r="72" spans="1:17">
      <c r="A72" s="67" t="s">
        <v>14</v>
      </c>
      <c r="B72" s="138">
        <v>7298.73</v>
      </c>
      <c r="C72" s="139">
        <v>7298.73</v>
      </c>
      <c r="D72" s="63">
        <v>14.47</v>
      </c>
      <c r="E72" s="68"/>
    </row>
    <row r="73" spans="1:17">
      <c r="A73" s="67" t="s">
        <v>15</v>
      </c>
      <c r="B73" s="138">
        <v>8648.89</v>
      </c>
      <c r="C73" s="139">
        <v>8648.89</v>
      </c>
      <c r="D73" s="63">
        <v>5.35</v>
      </c>
      <c r="E73" s="68"/>
    </row>
    <row r="74" spans="1:17">
      <c r="A74" s="69" t="s">
        <v>16</v>
      </c>
      <c r="B74" s="140">
        <f>SUM(B71:B73)</f>
        <v>17468.57</v>
      </c>
      <c r="C74" s="141">
        <f>SUM(C71:C73)</f>
        <v>15947.619999999999</v>
      </c>
      <c r="D74" s="42"/>
      <c r="E74" s="68"/>
    </row>
    <row r="75" spans="1:17">
      <c r="A75" s="70" t="s">
        <v>53</v>
      </c>
      <c r="B75" s="134">
        <v>0</v>
      </c>
      <c r="C75" s="135"/>
      <c r="D75" s="15"/>
      <c r="E75" s="71"/>
    </row>
    <row r="76" spans="1:17">
      <c r="A76" s="72" t="s">
        <v>17</v>
      </c>
      <c r="B76" s="104">
        <v>1</v>
      </c>
      <c r="C76" s="104"/>
      <c r="E76" s="68"/>
    </row>
    <row r="77" spans="1:17">
      <c r="A77" s="72" t="s">
        <v>18</v>
      </c>
      <c r="B77" s="104">
        <v>1</v>
      </c>
      <c r="C77" s="104"/>
      <c r="E77" s="68"/>
    </row>
    <row r="78" spans="1:17">
      <c r="A78" s="72" t="s">
        <v>19</v>
      </c>
      <c r="B78" s="87">
        <v>0</v>
      </c>
      <c r="C78" s="87"/>
      <c r="E78" s="68"/>
    </row>
    <row r="79" spans="1:17">
      <c r="A79" s="72" t="s">
        <v>20</v>
      </c>
      <c r="B79" s="87">
        <v>143.88</v>
      </c>
      <c r="C79" s="87"/>
      <c r="E79" s="68"/>
    </row>
    <row r="80" spans="1:17">
      <c r="A80" s="72" t="s">
        <v>21</v>
      </c>
      <c r="B80" s="87">
        <v>124.33</v>
      </c>
      <c r="C80" s="87"/>
      <c r="E80" s="68"/>
    </row>
    <row r="81" spans="1:5">
      <c r="A81" s="72" t="s">
        <v>26</v>
      </c>
      <c r="B81" s="98">
        <v>1</v>
      </c>
      <c r="C81" s="98"/>
      <c r="E81" s="68"/>
    </row>
    <row r="82" spans="1:5">
      <c r="A82" s="72" t="s">
        <v>37</v>
      </c>
      <c r="B82" s="87">
        <v>16364.09</v>
      </c>
      <c r="C82" s="87"/>
      <c r="E82" s="68"/>
    </row>
    <row r="83" spans="1:5">
      <c r="A83" s="72" t="s">
        <v>27</v>
      </c>
      <c r="B83" s="87">
        <v>0</v>
      </c>
      <c r="C83" s="87"/>
      <c r="E83" s="68"/>
    </row>
    <row r="84" spans="1:5">
      <c r="A84" s="72" t="s">
        <v>28</v>
      </c>
      <c r="B84" s="87">
        <v>0</v>
      </c>
      <c r="C84" s="87"/>
      <c r="E84" s="68"/>
    </row>
    <row r="85" spans="1:5">
      <c r="A85" s="72"/>
      <c r="B85" s="2" t="s">
        <v>34</v>
      </c>
      <c r="C85" s="2" t="s">
        <v>35</v>
      </c>
      <c r="D85" s="90" t="s">
        <v>33</v>
      </c>
      <c r="E85" s="125"/>
    </row>
    <row r="86" spans="1:5">
      <c r="A86" s="72" t="s">
        <v>22</v>
      </c>
      <c r="B86" s="62">
        <v>10727</v>
      </c>
      <c r="C86" s="36">
        <v>16364</v>
      </c>
      <c r="D86" s="142">
        <v>0.47</v>
      </c>
      <c r="E86" s="143"/>
    </row>
    <row r="87" spans="1:5">
      <c r="A87" s="73" t="s">
        <v>23</v>
      </c>
      <c r="B87" s="74">
        <f ca="1">IFERROR(VLOOKUP($B87,'[1]100PCT_RE'!$D$27:$BQ$37,MATCH(B$31,'[1]100PCT_RE'!$D$27:$BQ$27,0),0),0)</f>
        <v>2712.95</v>
      </c>
      <c r="C87" s="62">
        <v>3058.8</v>
      </c>
      <c r="D87" s="88"/>
      <c r="E87" s="144"/>
    </row>
    <row r="88" spans="1:5">
      <c r="A88" s="73" t="s">
        <v>24</v>
      </c>
      <c r="B88" s="74">
        <f ca="1">IFERROR(VLOOKUP($B88,'[1]100PCT_RE'!$D$27:$BQ$37,MATCH(B$31,'[1]100PCT_RE'!$D$27:$BQ$27,0),0),0)</f>
        <v>8014.19</v>
      </c>
      <c r="C88" s="62">
        <v>9249.25</v>
      </c>
      <c r="D88" s="88"/>
      <c r="E88" s="144"/>
    </row>
    <row r="89" spans="1:5">
      <c r="A89" s="72"/>
      <c r="E89" s="68"/>
    </row>
    <row r="90" spans="1:5" ht="16" thickBot="1">
      <c r="A90" s="75" t="s">
        <v>59</v>
      </c>
      <c r="B90" s="145">
        <v>0</v>
      </c>
      <c r="C90" s="146"/>
      <c r="D90" s="146"/>
      <c r="E90" s="147"/>
    </row>
    <row r="92" spans="1:5">
      <c r="A92" s="77" t="s">
        <v>74</v>
      </c>
    </row>
    <row r="93" spans="1:5">
      <c r="A93" s="1"/>
      <c r="B93" s="85" t="s">
        <v>0</v>
      </c>
      <c r="C93" s="85"/>
      <c r="D93" s="85"/>
      <c r="E93" s="85"/>
    </row>
    <row r="94" spans="1:5">
      <c r="A94" s="1" t="s">
        <v>4</v>
      </c>
      <c r="B94" s="1" t="s">
        <v>5</v>
      </c>
      <c r="C94" s="1" t="s">
        <v>6</v>
      </c>
      <c r="D94" s="1" t="s">
        <v>69</v>
      </c>
      <c r="E94" s="1" t="s">
        <v>7</v>
      </c>
    </row>
    <row r="95" spans="1:5">
      <c r="A95" s="2" t="s">
        <v>9</v>
      </c>
      <c r="B95" s="36">
        <v>1</v>
      </c>
      <c r="C95" s="37">
        <f>E95/$E$102</f>
        <v>8.3270480832530414E-2</v>
      </c>
      <c r="D95" s="43">
        <v>71.209999999999994</v>
      </c>
      <c r="E95" s="38">
        <v>573</v>
      </c>
    </row>
    <row r="96" spans="1:5">
      <c r="A96" s="2" t="s">
        <v>10</v>
      </c>
      <c r="B96" s="36">
        <v>3</v>
      </c>
      <c r="C96" s="37">
        <f t="shared" ref="C96:C102" si="5">E96/$E$102</f>
        <v>0.10419709381662183</v>
      </c>
      <c r="D96" s="43">
        <v>12.72</v>
      </c>
      <c r="E96" s="38">
        <v>717</v>
      </c>
    </row>
    <row r="97" spans="1:5">
      <c r="A97" s="2" t="s">
        <v>11</v>
      </c>
      <c r="B97" s="36">
        <v>0</v>
      </c>
      <c r="C97" s="37">
        <f t="shared" si="5"/>
        <v>0</v>
      </c>
      <c r="D97" s="43">
        <v>0</v>
      </c>
      <c r="E97" s="38">
        <v>0</v>
      </c>
    </row>
    <row r="98" spans="1:5">
      <c r="A98" s="2" t="s">
        <v>12</v>
      </c>
      <c r="B98" s="36">
        <v>0</v>
      </c>
      <c r="C98" s="37">
        <f t="shared" si="5"/>
        <v>0</v>
      </c>
      <c r="D98" s="43">
        <v>0</v>
      </c>
      <c r="E98" s="38">
        <v>0</v>
      </c>
    </row>
    <row r="99" spans="1:5">
      <c r="A99" s="2" t="s">
        <v>13</v>
      </c>
      <c r="B99" s="39"/>
      <c r="C99" s="37">
        <f t="shared" si="5"/>
        <v>0.1403870551459849</v>
      </c>
      <c r="D99" s="43">
        <v>41.15</v>
      </c>
      <c r="E99" s="40">
        <v>966.03</v>
      </c>
    </row>
    <row r="100" spans="1:5">
      <c r="A100" s="2" t="s">
        <v>14</v>
      </c>
      <c r="B100" s="39"/>
      <c r="C100" s="37">
        <f t="shared" si="5"/>
        <v>0.42307507858379145</v>
      </c>
      <c r="D100" s="43">
        <v>25.44</v>
      </c>
      <c r="E100" s="40">
        <v>2911.26</v>
      </c>
    </row>
    <row r="101" spans="1:5" ht="14" customHeight="1">
      <c r="A101" s="2" t="s">
        <v>75</v>
      </c>
      <c r="B101" s="39"/>
      <c r="C101" s="37">
        <f t="shared" si="5"/>
        <v>0.24907029162107136</v>
      </c>
      <c r="D101" s="43">
        <v>16.47</v>
      </c>
      <c r="E101" s="40">
        <v>1713.9</v>
      </c>
    </row>
    <row r="102" spans="1:5">
      <c r="A102" s="1" t="s">
        <v>16</v>
      </c>
      <c r="B102" s="41"/>
      <c r="C102" s="37">
        <f t="shared" si="5"/>
        <v>1</v>
      </c>
      <c r="D102" s="42"/>
      <c r="E102" s="42">
        <f>SUM(E95:E101)</f>
        <v>6881.1900000000005</v>
      </c>
    </row>
    <row r="103" spans="1:5">
      <c r="A103" s="70" t="s">
        <v>53</v>
      </c>
      <c r="B103" s="131">
        <f>SUM(C95:C98)</f>
        <v>0.18746757464915226</v>
      </c>
      <c r="C103" s="132"/>
      <c r="D103" s="15"/>
      <c r="E103" s="71"/>
    </row>
    <row r="104" spans="1:5">
      <c r="A104" s="72" t="s">
        <v>17</v>
      </c>
      <c r="B104" s="104">
        <f>SUM(C99:C101)</f>
        <v>0.81253242535084769</v>
      </c>
      <c r="C104" s="104"/>
      <c r="E104" s="68"/>
    </row>
    <row r="105" spans="1:5">
      <c r="A105" s="72" t="s">
        <v>18</v>
      </c>
      <c r="B105" s="133">
        <v>0.74</v>
      </c>
      <c r="C105" s="133"/>
      <c r="E105" s="68"/>
    </row>
    <row r="106" spans="1:5">
      <c r="A106" s="72" t="s">
        <v>19</v>
      </c>
      <c r="B106" s="87">
        <v>244.29</v>
      </c>
      <c r="C106" s="87"/>
      <c r="E106" s="68"/>
    </row>
    <row r="107" spans="1:5">
      <c r="A107" s="72" t="s">
        <v>20</v>
      </c>
      <c r="B107" s="87">
        <v>73.45</v>
      </c>
      <c r="C107" s="87"/>
      <c r="E107" s="68"/>
    </row>
    <row r="108" spans="1:5">
      <c r="A108" s="72" t="s">
        <v>21</v>
      </c>
      <c r="B108" s="87">
        <v>61.63</v>
      </c>
      <c r="C108" s="87"/>
      <c r="E108" s="68"/>
    </row>
    <row r="109" spans="1:5">
      <c r="A109" s="72" t="s">
        <v>26</v>
      </c>
      <c r="B109" s="98">
        <v>1</v>
      </c>
      <c r="C109" s="98"/>
      <c r="E109" s="68"/>
    </row>
    <row r="110" spans="1:5">
      <c r="A110" s="72" t="s">
        <v>37</v>
      </c>
      <c r="B110" s="87">
        <v>14149.8</v>
      </c>
      <c r="C110" s="87"/>
      <c r="E110" s="68"/>
    </row>
    <row r="111" spans="1:5">
      <c r="A111" s="72" t="s">
        <v>27</v>
      </c>
      <c r="B111" s="87">
        <v>0</v>
      </c>
      <c r="C111" s="87"/>
      <c r="E111" s="68"/>
    </row>
    <row r="112" spans="1:5">
      <c r="A112" s="72" t="s">
        <v>28</v>
      </c>
      <c r="B112" s="87">
        <v>0</v>
      </c>
      <c r="C112" s="87"/>
      <c r="E112" s="68"/>
    </row>
    <row r="113" spans="1:5">
      <c r="A113" s="72"/>
      <c r="B113" s="2" t="s">
        <v>34</v>
      </c>
      <c r="C113" s="2" t="s">
        <v>35</v>
      </c>
      <c r="D113" s="90" t="s">
        <v>33</v>
      </c>
      <c r="E113" s="125"/>
    </row>
    <row r="114" spans="1:5">
      <c r="A114" s="72" t="s">
        <v>22</v>
      </c>
      <c r="B114" s="61">
        <v>1188.95</v>
      </c>
      <c r="C114" s="36">
        <v>14149.75</v>
      </c>
      <c r="D114" s="148">
        <f>B114/(B114+C114)</f>
        <v>7.7513087810570647E-2</v>
      </c>
      <c r="E114" s="149"/>
    </row>
    <row r="115" spans="1:5">
      <c r="A115" s="73" t="s">
        <v>23</v>
      </c>
      <c r="B115" s="50">
        <f ca="1">IFERROR(VLOOKUP($B115,'[2]70PCT_RE'!$D$27:$BQ$37,MATCH(B$28,'[2]70PCT_RE'!$D$27:$BQ$27,0),0),0)</f>
        <v>424.99</v>
      </c>
      <c r="C115" s="62">
        <v>3240.94</v>
      </c>
      <c r="D115" s="88"/>
      <c r="E115" s="144"/>
    </row>
    <row r="116" spans="1:5">
      <c r="A116" s="73" t="s">
        <v>24</v>
      </c>
      <c r="B116" s="50">
        <f ca="1">IFERROR(VLOOKUP($B116,'[2]70PCT_RE'!$D$27:$BQ$37,MATCH(B$28,'[2]70PCT_RE'!$D$27:$BQ$27,0),0),0)</f>
        <v>763.96</v>
      </c>
      <c r="C116" s="62">
        <v>6121.93</v>
      </c>
      <c r="D116" s="88"/>
      <c r="E116" s="144"/>
    </row>
    <row r="117" spans="1:5">
      <c r="A117" s="72"/>
      <c r="E117" s="68"/>
    </row>
    <row r="118" spans="1:5" ht="16" thickBot="1">
      <c r="A118" s="75" t="s">
        <v>59</v>
      </c>
      <c r="B118" s="150">
        <f>5*E95/(E99+E100)</f>
        <v>0.73891816191205717</v>
      </c>
      <c r="C118" s="151"/>
      <c r="D118" s="151"/>
      <c r="E118" s="152"/>
    </row>
  </sheetData>
  <mergeCells count="161">
    <mergeCell ref="D113:E113"/>
    <mergeCell ref="D114:E114"/>
    <mergeCell ref="D115:E115"/>
    <mergeCell ref="D116:E116"/>
    <mergeCell ref="B118:E118"/>
    <mergeCell ref="B108:C108"/>
    <mergeCell ref="B109:C109"/>
    <mergeCell ref="B110:C110"/>
    <mergeCell ref="B111:C111"/>
    <mergeCell ref="B112:C112"/>
    <mergeCell ref="B103:C103"/>
    <mergeCell ref="B104:C104"/>
    <mergeCell ref="B105:C105"/>
    <mergeCell ref="B106:C106"/>
    <mergeCell ref="B107:C107"/>
    <mergeCell ref="B93:E93"/>
    <mergeCell ref="B75:C75"/>
    <mergeCell ref="B70:C70"/>
    <mergeCell ref="B71:C71"/>
    <mergeCell ref="B72:C72"/>
    <mergeCell ref="B73:C73"/>
    <mergeCell ref="B74:C74"/>
    <mergeCell ref="D86:E86"/>
    <mergeCell ref="D87:E87"/>
    <mergeCell ref="D88:E88"/>
    <mergeCell ref="B90:E90"/>
    <mergeCell ref="B76:C76"/>
    <mergeCell ref="B77:C77"/>
    <mergeCell ref="B78:C78"/>
    <mergeCell ref="B79:C79"/>
    <mergeCell ref="B80:C80"/>
    <mergeCell ref="B81:C81"/>
    <mergeCell ref="B82:C82"/>
    <mergeCell ref="B83:C83"/>
    <mergeCell ref="B55:E55"/>
    <mergeCell ref="F55:I55"/>
    <mergeCell ref="J55:M55"/>
    <mergeCell ref="N55:Q55"/>
    <mergeCell ref="N53:Q53"/>
    <mergeCell ref="B54:E54"/>
    <mergeCell ref="B84:C84"/>
    <mergeCell ref="D85:E85"/>
    <mergeCell ref="B62:E62"/>
    <mergeCell ref="F62:I62"/>
    <mergeCell ref="J62:M62"/>
    <mergeCell ref="N62:Q62"/>
    <mergeCell ref="A67:Q68"/>
    <mergeCell ref="D60:E60"/>
    <mergeCell ref="H60:I60"/>
    <mergeCell ref="L60:M60"/>
    <mergeCell ref="P60:Q60"/>
    <mergeCell ref="D58:E58"/>
    <mergeCell ref="H58:I58"/>
    <mergeCell ref="L58:M58"/>
    <mergeCell ref="P58:Q58"/>
    <mergeCell ref="D59:E59"/>
    <mergeCell ref="H59:I59"/>
    <mergeCell ref="L59:M59"/>
    <mergeCell ref="P59:Q59"/>
    <mergeCell ref="B56:E56"/>
    <mergeCell ref="F56:I56"/>
    <mergeCell ref="J56:M56"/>
    <mergeCell ref="N56:Q56"/>
    <mergeCell ref="D57:E57"/>
    <mergeCell ref="H57:I57"/>
    <mergeCell ref="L57:M57"/>
    <mergeCell ref="P57:Q57"/>
    <mergeCell ref="F54:I54"/>
    <mergeCell ref="J54:M54"/>
    <mergeCell ref="N54:Q54"/>
    <mergeCell ref="B52:E52"/>
    <mergeCell ref="F52:I52"/>
    <mergeCell ref="J52:M52"/>
    <mergeCell ref="B53:E53"/>
    <mergeCell ref="F53:I53"/>
    <mergeCell ref="J53:M53"/>
    <mergeCell ref="N52:Q52"/>
    <mergeCell ref="B50:E50"/>
    <mergeCell ref="F50:I50"/>
    <mergeCell ref="J50:M50"/>
    <mergeCell ref="N50:Q50"/>
    <mergeCell ref="B51:E51"/>
    <mergeCell ref="F51:I51"/>
    <mergeCell ref="J51:M51"/>
    <mergeCell ref="B48:E48"/>
    <mergeCell ref="F48:I48"/>
    <mergeCell ref="J48:M48"/>
    <mergeCell ref="N48:Q48"/>
    <mergeCell ref="B49:E49"/>
    <mergeCell ref="F49:I49"/>
    <mergeCell ref="J49:M49"/>
    <mergeCell ref="N49:Q49"/>
    <mergeCell ref="N51:Q51"/>
    <mergeCell ref="A35:Q36"/>
    <mergeCell ref="B37:E37"/>
    <mergeCell ref="F37:I37"/>
    <mergeCell ref="J37:M37"/>
    <mergeCell ref="N37:Q37"/>
    <mergeCell ref="F23:I23"/>
    <mergeCell ref="J23:M23"/>
    <mergeCell ref="N23:Q23"/>
    <mergeCell ref="A1:Q2"/>
    <mergeCell ref="B14:E14"/>
    <mergeCell ref="F14:I14"/>
    <mergeCell ref="J14:M14"/>
    <mergeCell ref="N14:Q14"/>
    <mergeCell ref="L25:M25"/>
    <mergeCell ref="L26:M26"/>
    <mergeCell ref="L27:M27"/>
    <mergeCell ref="L28:M28"/>
    <mergeCell ref="P26:Q26"/>
    <mergeCell ref="P25:Q25"/>
    <mergeCell ref="P27:Q27"/>
    <mergeCell ref="P28:Q28"/>
    <mergeCell ref="F24:I24"/>
    <mergeCell ref="F22:I22"/>
    <mergeCell ref="N15:Q15"/>
    <mergeCell ref="B24:E24"/>
    <mergeCell ref="B21:E21"/>
    <mergeCell ref="B17:E17"/>
    <mergeCell ref="B3:E3"/>
    <mergeCell ref="B22:E22"/>
    <mergeCell ref="B23:E23"/>
    <mergeCell ref="N16:Q16"/>
    <mergeCell ref="N17:Q17"/>
    <mergeCell ref="F17:I17"/>
    <mergeCell ref="F16:I16"/>
    <mergeCell ref="F15:I15"/>
    <mergeCell ref="J15:M15"/>
    <mergeCell ref="J16:M16"/>
    <mergeCell ref="J17:M17"/>
    <mergeCell ref="F21:I21"/>
    <mergeCell ref="J21:M21"/>
    <mergeCell ref="N21:Q21"/>
    <mergeCell ref="J18:M18"/>
    <mergeCell ref="J19:M19"/>
    <mergeCell ref="N20:Q20"/>
    <mergeCell ref="N24:Q24"/>
    <mergeCell ref="N22:Q22"/>
    <mergeCell ref="J3:M3"/>
    <mergeCell ref="N3:Q3"/>
    <mergeCell ref="J20:M20"/>
    <mergeCell ref="J22:M22"/>
    <mergeCell ref="J24:M24"/>
    <mergeCell ref="D27:E27"/>
    <mergeCell ref="D28:E28"/>
    <mergeCell ref="H25:I25"/>
    <mergeCell ref="H26:I26"/>
    <mergeCell ref="H27:I27"/>
    <mergeCell ref="H28:I28"/>
    <mergeCell ref="D25:E25"/>
    <mergeCell ref="D26:E26"/>
    <mergeCell ref="F3:I3"/>
    <mergeCell ref="B16:E16"/>
    <mergeCell ref="B18:E18"/>
    <mergeCell ref="B19:E19"/>
    <mergeCell ref="B20:E20"/>
    <mergeCell ref="F20:I20"/>
    <mergeCell ref="F19:I19"/>
    <mergeCell ref="F18:I18"/>
    <mergeCell ref="B15:E15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62B6A0-C971-4D37-A98C-DE24791AD266}">
  <sheetPr>
    <tabColor theme="9" tint="0.59999389629810485"/>
  </sheetPr>
  <dimension ref="B3:R21"/>
  <sheetViews>
    <sheetView workbookViewId="0">
      <selection activeCell="G26" sqref="G26"/>
    </sheetView>
  </sheetViews>
  <sheetFormatPr baseColWidth="10" defaultColWidth="8.83203125" defaultRowHeight="15"/>
  <cols>
    <col min="2" max="2" width="22.5" customWidth="1"/>
  </cols>
  <sheetData>
    <row r="3" spans="2:18">
      <c r="B3" s="2"/>
      <c r="C3" s="90" t="s">
        <v>0</v>
      </c>
      <c r="D3" s="83"/>
      <c r="E3" s="83"/>
      <c r="F3" s="84"/>
      <c r="G3" s="153" t="s">
        <v>1</v>
      </c>
      <c r="H3" s="154"/>
      <c r="I3" s="154"/>
      <c r="J3" s="155"/>
      <c r="K3" s="153" t="s">
        <v>2</v>
      </c>
      <c r="L3" s="154"/>
      <c r="M3" s="154"/>
      <c r="N3" s="155"/>
      <c r="O3" s="153" t="s">
        <v>3</v>
      </c>
      <c r="P3" s="154"/>
      <c r="Q3" s="154"/>
      <c r="R3" s="155"/>
    </row>
    <row r="4" spans="2:18">
      <c r="B4" s="2" t="s">
        <v>4</v>
      </c>
      <c r="C4" s="2" t="s">
        <v>5</v>
      </c>
      <c r="D4" s="2" t="s">
        <v>6</v>
      </c>
      <c r="E4" s="2" t="s">
        <v>31</v>
      </c>
      <c r="F4" s="2" t="s">
        <v>7</v>
      </c>
      <c r="G4" s="2" t="s">
        <v>5</v>
      </c>
      <c r="H4" s="2" t="s">
        <v>6</v>
      </c>
      <c r="I4" s="2" t="s">
        <v>31</v>
      </c>
      <c r="J4" s="2" t="s">
        <v>7</v>
      </c>
      <c r="K4" s="2" t="s">
        <v>5</v>
      </c>
      <c r="L4" s="2" t="s">
        <v>6</v>
      </c>
      <c r="M4" s="2" t="s">
        <v>31</v>
      </c>
      <c r="N4" s="2" t="s">
        <v>7</v>
      </c>
      <c r="O4" s="2" t="s">
        <v>5</v>
      </c>
      <c r="P4" s="2" t="s">
        <v>8</v>
      </c>
      <c r="Q4" s="2" t="s">
        <v>31</v>
      </c>
      <c r="R4" s="2" t="s">
        <v>7</v>
      </c>
    </row>
    <row r="5" spans="2:18">
      <c r="B5" s="2" t="s">
        <v>9</v>
      </c>
      <c r="C5" s="2"/>
      <c r="D5" s="3"/>
      <c r="E5" s="3"/>
      <c r="F5" s="2"/>
      <c r="G5" s="2"/>
      <c r="H5" s="3"/>
      <c r="I5" s="3"/>
      <c r="J5" s="2"/>
      <c r="K5" s="2"/>
      <c r="L5" s="3"/>
      <c r="M5" s="2"/>
      <c r="N5" s="2"/>
      <c r="O5" s="2"/>
      <c r="P5" s="3"/>
      <c r="Q5" s="3"/>
      <c r="R5" s="2"/>
    </row>
    <row r="6" spans="2:18">
      <c r="B6" s="2" t="s">
        <v>10</v>
      </c>
      <c r="C6" s="2"/>
      <c r="D6" s="3"/>
      <c r="E6" s="3"/>
      <c r="F6" s="2"/>
      <c r="G6" s="2"/>
      <c r="H6" s="3"/>
      <c r="I6" s="3"/>
      <c r="J6" s="2"/>
      <c r="K6" s="2"/>
      <c r="L6" s="3"/>
      <c r="M6" s="2"/>
      <c r="N6" s="2"/>
      <c r="O6" s="2"/>
      <c r="P6" s="3"/>
      <c r="Q6" s="3"/>
      <c r="R6" s="2"/>
    </row>
    <row r="7" spans="2:18">
      <c r="B7" s="2" t="s">
        <v>11</v>
      </c>
      <c r="C7" s="2"/>
      <c r="D7" s="3"/>
      <c r="E7" s="3"/>
      <c r="F7" s="2"/>
      <c r="G7" s="2"/>
      <c r="H7" s="3"/>
      <c r="I7" s="3"/>
      <c r="J7" s="2"/>
      <c r="K7" s="2"/>
      <c r="L7" s="3"/>
      <c r="M7" s="2"/>
      <c r="N7" s="2"/>
      <c r="O7" s="2"/>
      <c r="P7" s="3"/>
      <c r="Q7" s="3"/>
      <c r="R7" s="2"/>
    </row>
    <row r="8" spans="2:18">
      <c r="B8" s="2" t="s">
        <v>12</v>
      </c>
      <c r="C8" s="2"/>
      <c r="D8" s="3"/>
      <c r="E8" s="3"/>
      <c r="F8" s="2"/>
      <c r="G8" s="2"/>
      <c r="H8" s="3"/>
      <c r="I8" s="3"/>
      <c r="J8" s="2"/>
      <c r="K8" s="2"/>
      <c r="L8" s="2"/>
      <c r="M8" s="2"/>
      <c r="N8" s="2"/>
      <c r="O8" s="2"/>
      <c r="P8" s="3"/>
      <c r="Q8" s="3"/>
      <c r="R8" s="2"/>
    </row>
    <row r="9" spans="2:18">
      <c r="B9" s="2" t="s">
        <v>13</v>
      </c>
      <c r="C9" s="2"/>
      <c r="D9" s="3"/>
      <c r="E9" s="3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</row>
    <row r="10" spans="2:18">
      <c r="B10" s="2" t="s">
        <v>14</v>
      </c>
      <c r="C10" s="2"/>
      <c r="D10" s="3"/>
      <c r="E10" s="3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</row>
    <row r="11" spans="2:18">
      <c r="B11" s="2" t="s">
        <v>15</v>
      </c>
      <c r="C11" s="2"/>
      <c r="D11" s="3"/>
      <c r="E11" s="3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</row>
    <row r="12" spans="2:18">
      <c r="B12" s="1" t="s">
        <v>16</v>
      </c>
      <c r="C12" s="1"/>
      <c r="D12" s="1"/>
      <c r="E12" s="1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</row>
    <row r="18" spans="3:8">
      <c r="C18" s="16"/>
      <c r="D18" s="16"/>
      <c r="E18" s="16"/>
      <c r="F18" s="16"/>
      <c r="G18" s="16"/>
      <c r="H18" s="16"/>
    </row>
    <row r="19" spans="3:8">
      <c r="C19" s="16"/>
      <c r="D19" s="16"/>
      <c r="E19" s="16"/>
      <c r="F19" s="16"/>
      <c r="G19" s="16"/>
      <c r="H19" s="16"/>
    </row>
    <row r="20" spans="3:8">
      <c r="C20" s="16"/>
      <c r="D20" s="16"/>
      <c r="E20" s="16"/>
      <c r="F20" s="16"/>
      <c r="G20" s="16"/>
      <c r="H20" s="16"/>
    </row>
    <row r="21" spans="3:8">
      <c r="C21" s="16"/>
      <c r="D21" s="16"/>
      <c r="E21" s="16"/>
      <c r="F21" s="16"/>
      <c r="G21" s="16"/>
      <c r="H21" s="16"/>
    </row>
  </sheetData>
  <mergeCells count="4">
    <mergeCell ref="C3:F3"/>
    <mergeCell ref="G3:J3"/>
    <mergeCell ref="K3:N3"/>
    <mergeCell ref="O3:R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177C8-0EA0-42CA-80F4-066704DB29BF}">
  <sheetPr>
    <tabColor theme="9" tint="0.59999389629810485"/>
  </sheetPr>
  <dimension ref="B3:I7"/>
  <sheetViews>
    <sheetView workbookViewId="0">
      <selection activeCell="G29" sqref="G29"/>
    </sheetView>
  </sheetViews>
  <sheetFormatPr baseColWidth="10" defaultColWidth="8.83203125" defaultRowHeight="15"/>
  <cols>
    <col min="2" max="2" width="18.83203125" bestFit="1" customWidth="1"/>
    <col min="3" max="3" width="22.6640625" bestFit="1" customWidth="1"/>
    <col min="4" max="4" width="25.1640625" customWidth="1"/>
    <col min="5" max="6" width="22.1640625" bestFit="1" customWidth="1"/>
  </cols>
  <sheetData>
    <row r="3" spans="2:9">
      <c r="B3" s="2"/>
      <c r="C3" s="8" t="s">
        <v>0</v>
      </c>
      <c r="D3" s="8" t="s">
        <v>1</v>
      </c>
      <c r="E3" s="8" t="s">
        <v>2</v>
      </c>
      <c r="F3" s="2" t="s">
        <v>3</v>
      </c>
      <c r="I3" s="7"/>
    </row>
    <row r="4" spans="2:9">
      <c r="B4" s="2" t="s">
        <v>4</v>
      </c>
      <c r="C4" s="2" t="s">
        <v>7</v>
      </c>
      <c r="D4" s="2" t="s">
        <v>7</v>
      </c>
      <c r="E4" s="2" t="s">
        <v>7</v>
      </c>
      <c r="F4" s="2" t="s">
        <v>7</v>
      </c>
    </row>
    <row r="5" spans="2:9">
      <c r="B5" s="2" t="s">
        <v>9</v>
      </c>
      <c r="C5" s="2"/>
      <c r="D5" s="2"/>
      <c r="E5" s="2"/>
      <c r="F5" s="2"/>
    </row>
    <row r="6" spans="2:9">
      <c r="B6" s="2" t="s">
        <v>13</v>
      </c>
      <c r="C6" s="4"/>
      <c r="D6" s="4"/>
      <c r="E6" s="4"/>
      <c r="F6" s="4"/>
    </row>
    <row r="7" spans="2:9">
      <c r="B7" s="2" t="s">
        <v>14</v>
      </c>
      <c r="C7" s="4"/>
      <c r="D7" s="4"/>
      <c r="E7" s="4"/>
      <c r="F7" s="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D72E8-6AF5-492D-BBFC-24091BE1DBA6}">
  <sheetPr>
    <tabColor theme="9" tint="0.59999389629810485"/>
  </sheetPr>
  <dimension ref="A1:E13"/>
  <sheetViews>
    <sheetView workbookViewId="0">
      <selection activeCell="B2" sqref="B2:E2"/>
    </sheetView>
  </sheetViews>
  <sheetFormatPr baseColWidth="10" defaultColWidth="8.83203125" defaultRowHeight="15"/>
  <cols>
    <col min="1" max="1" width="29.5" customWidth="1"/>
    <col min="2" max="2" width="22.83203125" bestFit="1" customWidth="1"/>
    <col min="3" max="3" width="22.5" bestFit="1" customWidth="1"/>
    <col min="4" max="4" width="22.1640625" bestFit="1" customWidth="1"/>
    <col min="5" max="5" width="22.33203125" bestFit="1" customWidth="1"/>
  </cols>
  <sheetData>
    <row r="1" spans="1:5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t="s">
        <v>48</v>
      </c>
      <c r="B2" s="49">
        <v>281</v>
      </c>
      <c r="C2" s="49">
        <v>485</v>
      </c>
      <c r="D2" s="49">
        <v>380</v>
      </c>
      <c r="E2" s="49">
        <v>564</v>
      </c>
    </row>
    <row r="9" spans="1:5">
      <c r="A9" s="2"/>
      <c r="B9" s="2" t="s">
        <v>48</v>
      </c>
    </row>
    <row r="10" spans="1:5">
      <c r="A10" s="2" t="s">
        <v>49</v>
      </c>
      <c r="B10" s="36">
        <v>281</v>
      </c>
    </row>
    <row r="11" spans="1:5">
      <c r="A11" s="2" t="s">
        <v>50</v>
      </c>
      <c r="B11" s="36">
        <v>485</v>
      </c>
    </row>
    <row r="12" spans="1:5">
      <c r="A12" s="2" t="s">
        <v>51</v>
      </c>
      <c r="B12" s="36">
        <v>380</v>
      </c>
    </row>
    <row r="13" spans="1:5">
      <c r="A13" s="2" t="s">
        <v>52</v>
      </c>
      <c r="B13" s="36">
        <v>564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99EB7-7A76-4FD7-8D7C-B4FBD2BBFCAA}">
  <sheetPr>
    <tabColor theme="9" tint="0.59999389629810485"/>
  </sheetPr>
  <dimension ref="A1:E12"/>
  <sheetViews>
    <sheetView workbookViewId="0">
      <selection activeCell="B11" sqref="B11:E12"/>
    </sheetView>
  </sheetViews>
  <sheetFormatPr baseColWidth="10" defaultColWidth="8.83203125" defaultRowHeight="15"/>
  <cols>
    <col min="1" max="1" width="26.83203125" customWidth="1"/>
    <col min="2" max="2" width="22.6640625" bestFit="1" customWidth="1"/>
    <col min="3" max="3" width="22.5" bestFit="1" customWidth="1"/>
    <col min="4" max="5" width="22.1640625" bestFit="1" customWidth="1"/>
  </cols>
  <sheetData>
    <row r="1" spans="1:5">
      <c r="B1" s="19" t="s">
        <v>0</v>
      </c>
      <c r="C1" s="19" t="s">
        <v>1</v>
      </c>
      <c r="D1" s="19" t="s">
        <v>2</v>
      </c>
      <c r="E1" s="19" t="s">
        <v>3</v>
      </c>
    </row>
    <row r="2" spans="1:5" hidden="1">
      <c r="A2" t="s">
        <v>16</v>
      </c>
      <c r="B2">
        <v>5210.7999999999993</v>
      </c>
      <c r="C2">
        <v>5107.9799999999996</v>
      </c>
      <c r="D2">
        <v>4638.6899999999996</v>
      </c>
      <c r="E2">
        <v>5797.7330000000002</v>
      </c>
    </row>
    <row r="3" spans="1:5" hidden="1">
      <c r="A3" t="s">
        <v>54</v>
      </c>
      <c r="B3" s="16">
        <v>0.28786366776694561</v>
      </c>
      <c r="C3" s="16">
        <v>0.28935117208759625</v>
      </c>
      <c r="D3" s="16">
        <v>0.30073145651035099</v>
      </c>
      <c r="E3" s="16">
        <v>0.31650301936981223</v>
      </c>
    </row>
    <row r="4" spans="1:5" hidden="1">
      <c r="A4" t="s">
        <v>17</v>
      </c>
      <c r="B4" s="16">
        <v>0.72787096031319576</v>
      </c>
      <c r="C4" s="16">
        <v>0.72826635969600528</v>
      </c>
      <c r="D4" s="16">
        <v>0.71823726095082885</v>
      </c>
      <c r="E4" s="16">
        <v>0.7027315676661896</v>
      </c>
    </row>
    <row r="5" spans="1:5" hidden="1">
      <c r="A5" t="s">
        <v>55</v>
      </c>
      <c r="B5" s="16">
        <v>0.59</v>
      </c>
      <c r="C5" s="16">
        <v>0.58099999999999996</v>
      </c>
      <c r="D5" s="16">
        <v>0.49</v>
      </c>
      <c r="E5" s="16">
        <v>0.42499999999999999</v>
      </c>
    </row>
    <row r="6" spans="1:5" hidden="1">
      <c r="A6" t="s">
        <v>56</v>
      </c>
      <c r="B6">
        <v>361</v>
      </c>
      <c r="C6">
        <v>436</v>
      </c>
      <c r="D6">
        <v>465</v>
      </c>
      <c r="E6">
        <v>560</v>
      </c>
    </row>
    <row r="7" spans="1:5" hidden="1">
      <c r="A7" t="s">
        <v>57</v>
      </c>
      <c r="B7" s="18">
        <v>1</v>
      </c>
      <c r="C7" s="17">
        <v>0.99970000000000003</v>
      </c>
      <c r="D7" s="18">
        <v>0.99966999999999995</v>
      </c>
      <c r="E7" s="20">
        <v>0.999996</v>
      </c>
    </row>
    <row r="8" spans="1:5" hidden="1"/>
    <row r="9" spans="1:5" hidden="1"/>
    <row r="10" spans="1:5" hidden="1"/>
    <row r="11" spans="1:5">
      <c r="A11" t="s">
        <v>59</v>
      </c>
      <c r="B11" s="30">
        <v>373.62</v>
      </c>
      <c r="C11" s="30">
        <v>373.62</v>
      </c>
      <c r="D11" s="30">
        <v>373.62</v>
      </c>
      <c r="E11" s="30">
        <v>373.62</v>
      </c>
    </row>
    <row r="12" spans="1:5">
      <c r="B12">
        <v>282.89</v>
      </c>
      <c r="C12">
        <v>282.89</v>
      </c>
      <c r="D12">
        <v>282.89</v>
      </c>
      <c r="E12">
        <v>282.89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7F748-F729-4508-992C-07737C516135}">
  <sheetPr>
    <tabColor theme="9" tint="0.59999389629810485"/>
  </sheetPr>
  <dimension ref="B2:G9"/>
  <sheetViews>
    <sheetView topLeftCell="B1" workbookViewId="0">
      <selection activeCell="F12" sqref="F12"/>
    </sheetView>
  </sheetViews>
  <sheetFormatPr baseColWidth="10" defaultColWidth="8.83203125" defaultRowHeight="15"/>
  <cols>
    <col min="2" max="2" width="34.5" customWidth="1"/>
    <col min="3" max="3" width="11.5" customWidth="1"/>
    <col min="4" max="4" width="13.6640625" customWidth="1"/>
    <col min="5" max="5" width="10.5" customWidth="1"/>
    <col min="6" max="6" width="12.1640625" customWidth="1"/>
    <col min="7" max="7" width="8.83203125" customWidth="1"/>
  </cols>
  <sheetData>
    <row r="2" spans="2:7" ht="48">
      <c r="B2" s="8" t="s">
        <v>68</v>
      </c>
      <c r="C2" s="25" t="s">
        <v>67</v>
      </c>
      <c r="D2" s="25" t="s">
        <v>66</v>
      </c>
      <c r="E2" s="25" t="s">
        <v>65</v>
      </c>
      <c r="F2" s="25" t="s">
        <v>64</v>
      </c>
      <c r="G2" s="25" t="s">
        <v>62</v>
      </c>
    </row>
    <row r="3" spans="2:7">
      <c r="B3" s="26" t="s">
        <v>60</v>
      </c>
      <c r="C3" s="48">
        <v>63</v>
      </c>
      <c r="D3" s="48">
        <v>59</v>
      </c>
      <c r="E3" s="48">
        <v>72</v>
      </c>
      <c r="F3" s="48">
        <v>73</v>
      </c>
      <c r="G3" s="32">
        <v>79.491623586485616</v>
      </c>
    </row>
    <row r="4" spans="2:7">
      <c r="B4" s="26" t="s">
        <v>61</v>
      </c>
      <c r="C4" s="48">
        <v>75</v>
      </c>
      <c r="D4" s="48">
        <v>68</v>
      </c>
      <c r="E4" s="48">
        <v>79</v>
      </c>
      <c r="F4" s="48">
        <v>80</v>
      </c>
      <c r="G4" s="32">
        <v>79.491623586485616</v>
      </c>
    </row>
    <row r="5" spans="2:7">
      <c r="B5" s="26" t="s">
        <v>63</v>
      </c>
      <c r="C5" s="48"/>
      <c r="D5" s="31"/>
      <c r="E5" s="31"/>
      <c r="F5" s="31"/>
      <c r="G5" s="32"/>
    </row>
    <row r="6" spans="2:7">
      <c r="C6" s="24"/>
      <c r="D6" s="23"/>
      <c r="E6" s="23"/>
      <c r="F6" s="23"/>
      <c r="G6" s="24"/>
    </row>
    <row r="9" spans="2:7">
      <c r="C9" s="22"/>
      <c r="D9" s="22"/>
      <c r="E9" s="22"/>
      <c r="F9" s="2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99A97-1276-4567-B5AA-81927D18D90D}">
  <sheetPr>
    <tabColor theme="9" tint="0.59999389629810485"/>
  </sheetPr>
  <dimension ref="A1:Q25"/>
  <sheetViews>
    <sheetView zoomScale="104" workbookViewId="0">
      <selection activeCell="G29" sqref="G29"/>
    </sheetView>
  </sheetViews>
  <sheetFormatPr baseColWidth="10" defaultColWidth="8.83203125" defaultRowHeight="15"/>
  <cols>
    <col min="2" max="2" width="10.5" customWidth="1"/>
    <col min="3" max="3" width="19.33203125" customWidth="1"/>
    <col min="4" max="4" width="12.1640625" customWidth="1"/>
    <col min="5" max="5" width="13.5" customWidth="1"/>
    <col min="6" max="6" width="12.33203125" customWidth="1"/>
    <col min="7" max="7" width="11.1640625" customWidth="1"/>
    <col min="10" max="10" width="11.33203125" customWidth="1"/>
    <col min="11" max="11" width="12.6640625" customWidth="1"/>
    <col min="14" max="14" width="11.83203125" customWidth="1"/>
  </cols>
  <sheetData>
    <row r="1" spans="1:17">
      <c r="A1" s="1"/>
      <c r="B1" s="85" t="s">
        <v>0</v>
      </c>
      <c r="C1" s="85"/>
      <c r="D1" s="85"/>
      <c r="E1" s="85"/>
      <c r="F1" s="85" t="s">
        <v>1</v>
      </c>
      <c r="G1" s="85"/>
      <c r="H1" s="85"/>
      <c r="I1" s="85"/>
      <c r="J1" s="85" t="s">
        <v>2</v>
      </c>
      <c r="K1" s="85"/>
      <c r="L1" s="85"/>
      <c r="M1" s="85"/>
      <c r="N1" s="157" t="s">
        <v>3</v>
      </c>
      <c r="O1" s="157"/>
      <c r="P1" s="157"/>
      <c r="Q1" s="157"/>
    </row>
    <row r="2" spans="1:17">
      <c r="B2" s="2" t="s">
        <v>34</v>
      </c>
      <c r="C2" s="2" t="s">
        <v>35</v>
      </c>
      <c r="D2" s="90" t="s">
        <v>33</v>
      </c>
      <c r="E2" s="84"/>
      <c r="F2" s="2" t="s">
        <v>34</v>
      </c>
      <c r="G2" s="2" t="s">
        <v>36</v>
      </c>
      <c r="H2" s="90" t="s">
        <v>33</v>
      </c>
      <c r="I2" s="84"/>
      <c r="J2" s="2" t="s">
        <v>32</v>
      </c>
      <c r="K2" s="2" t="s">
        <v>32</v>
      </c>
      <c r="L2" s="90" t="s">
        <v>33</v>
      </c>
      <c r="M2" s="84"/>
      <c r="N2" s="2" t="s">
        <v>32</v>
      </c>
      <c r="O2" s="2" t="s">
        <v>32</v>
      </c>
      <c r="P2" s="87" t="s">
        <v>33</v>
      </c>
      <c r="Q2" s="87"/>
    </row>
    <row r="3" spans="1:17">
      <c r="A3" t="s">
        <v>22</v>
      </c>
      <c r="B3" s="27">
        <v>12.1</v>
      </c>
      <c r="C3" s="27"/>
      <c r="D3" s="126"/>
      <c r="E3" s="128"/>
      <c r="F3" s="27">
        <v>139</v>
      </c>
      <c r="G3" s="27"/>
      <c r="H3" s="126"/>
      <c r="I3" s="128"/>
      <c r="J3" s="27"/>
      <c r="K3" s="27">
        <v>8.6</v>
      </c>
      <c r="L3" s="158"/>
      <c r="M3" s="159"/>
      <c r="N3" s="27">
        <v>1.04</v>
      </c>
      <c r="O3" s="33"/>
      <c r="P3" s="163"/>
      <c r="Q3" s="163"/>
    </row>
    <row r="4" spans="1:17">
      <c r="A4" s="6" t="s">
        <v>23</v>
      </c>
      <c r="B4" s="27">
        <v>5.78</v>
      </c>
      <c r="C4" s="27">
        <v>3335.35</v>
      </c>
      <c r="D4" s="158">
        <f>5.78/3335.35</f>
        <v>1.7329515643035964E-3</v>
      </c>
      <c r="E4" s="159"/>
      <c r="F4" s="29"/>
      <c r="G4" s="29"/>
      <c r="H4" s="126"/>
      <c r="I4" s="128"/>
      <c r="J4" s="27">
        <v>3634.5</v>
      </c>
      <c r="K4" s="27">
        <v>4.62</v>
      </c>
      <c r="L4" s="158">
        <f>K4/J4</f>
        <v>1.2711514651258771E-3</v>
      </c>
      <c r="M4" s="159"/>
      <c r="N4" s="27">
        <v>0.5</v>
      </c>
      <c r="O4" s="33">
        <v>474.95</v>
      </c>
      <c r="P4" s="160">
        <f>N4/O4</f>
        <v>1.0527423939362039E-3</v>
      </c>
      <c r="Q4" s="160"/>
    </row>
    <row r="5" spans="1:17">
      <c r="A5" s="6" t="s">
        <v>24</v>
      </c>
      <c r="B5" s="27">
        <v>6.32</v>
      </c>
      <c r="C5" s="27">
        <v>3284.31</v>
      </c>
      <c r="D5" s="158">
        <f>6.32/3284.31</f>
        <v>1.9243006902515294E-3</v>
      </c>
      <c r="E5" s="159"/>
      <c r="F5" s="27">
        <v>139</v>
      </c>
      <c r="G5" s="27">
        <v>6153</v>
      </c>
      <c r="H5" s="161">
        <f>F5/G5</f>
        <v>2.2590606208353649E-2</v>
      </c>
      <c r="I5" s="162"/>
      <c r="J5" s="27">
        <v>1800</v>
      </c>
      <c r="K5" s="27">
        <v>3.98</v>
      </c>
      <c r="L5" s="158">
        <f>K5/J5</f>
        <v>2.2111111111111112E-3</v>
      </c>
      <c r="M5" s="159"/>
      <c r="N5" s="27">
        <v>0.6</v>
      </c>
      <c r="O5" s="33">
        <v>3878.12</v>
      </c>
      <c r="P5" s="160">
        <f>N5/O5</f>
        <v>1.5471413984095386E-4</v>
      </c>
      <c r="Q5" s="160"/>
    </row>
    <row r="13" spans="1:17">
      <c r="B13" s="153"/>
      <c r="C13" s="155"/>
      <c r="D13" s="21" t="s">
        <v>23</v>
      </c>
      <c r="E13" s="21" t="s">
        <v>24</v>
      </c>
    </row>
    <row r="14" spans="1:17">
      <c r="B14" s="156" t="s">
        <v>49</v>
      </c>
      <c r="C14" s="2" t="s">
        <v>34</v>
      </c>
      <c r="D14" s="27">
        <v>5.78</v>
      </c>
      <c r="E14" s="27">
        <v>6.32</v>
      </c>
    </row>
    <row r="15" spans="1:17">
      <c r="B15" s="156"/>
      <c r="C15" s="2" t="s">
        <v>35</v>
      </c>
      <c r="D15" s="27">
        <v>3335.35</v>
      </c>
      <c r="E15" s="27">
        <v>3284.31</v>
      </c>
    </row>
    <row r="16" spans="1:17">
      <c r="B16" s="156"/>
      <c r="C16" s="2" t="s">
        <v>58</v>
      </c>
      <c r="D16" s="34">
        <f>5.78/3335.35</f>
        <v>1.7329515643035964E-3</v>
      </c>
      <c r="E16" s="34">
        <f>6.32/3284.31</f>
        <v>1.9243006902515294E-3</v>
      </c>
    </row>
    <row r="17" spans="2:5">
      <c r="B17" s="156" t="s">
        <v>50</v>
      </c>
      <c r="C17" s="2" t="s">
        <v>34</v>
      </c>
      <c r="D17" s="27">
        <v>0</v>
      </c>
      <c r="E17" s="27">
        <v>139</v>
      </c>
    </row>
    <row r="18" spans="2:5">
      <c r="B18" s="156"/>
      <c r="C18" s="2" t="s">
        <v>35</v>
      </c>
      <c r="D18" s="27">
        <v>0</v>
      </c>
      <c r="E18" s="27">
        <v>6153</v>
      </c>
    </row>
    <row r="19" spans="2:5">
      <c r="B19" s="156"/>
      <c r="C19" s="2" t="s">
        <v>58</v>
      </c>
      <c r="D19" s="27"/>
      <c r="E19" s="35">
        <f>E17/E18</f>
        <v>2.2590606208353649E-2</v>
      </c>
    </row>
    <row r="20" spans="2:5">
      <c r="B20" s="156" t="s">
        <v>51</v>
      </c>
      <c r="C20" s="2" t="s">
        <v>34</v>
      </c>
      <c r="D20" s="27">
        <v>3634.5</v>
      </c>
      <c r="E20" s="27">
        <v>1800</v>
      </c>
    </row>
    <row r="21" spans="2:5">
      <c r="B21" s="156"/>
      <c r="C21" s="2" t="s">
        <v>35</v>
      </c>
      <c r="D21" s="27">
        <v>4.62</v>
      </c>
      <c r="E21" s="27">
        <v>3.98</v>
      </c>
    </row>
    <row r="22" spans="2:5">
      <c r="B22" s="156"/>
      <c r="C22" s="2" t="s">
        <v>58</v>
      </c>
      <c r="D22" s="34">
        <f>D21/D20</f>
        <v>1.2711514651258771E-3</v>
      </c>
      <c r="E22" s="34">
        <f>E21/E20</f>
        <v>2.2111111111111112E-3</v>
      </c>
    </row>
    <row r="23" spans="2:5">
      <c r="B23" s="156" t="s">
        <v>52</v>
      </c>
      <c r="C23" s="2" t="s">
        <v>34</v>
      </c>
      <c r="D23" s="27">
        <v>0.5</v>
      </c>
      <c r="E23" s="27">
        <v>0.6</v>
      </c>
    </row>
    <row r="24" spans="2:5">
      <c r="B24" s="156"/>
      <c r="C24" s="2" t="s">
        <v>35</v>
      </c>
      <c r="D24" s="33">
        <v>474.95</v>
      </c>
      <c r="E24" s="33">
        <v>3878.12</v>
      </c>
    </row>
    <row r="25" spans="2:5">
      <c r="B25" s="156"/>
      <c r="C25" s="2" t="s">
        <v>58</v>
      </c>
      <c r="D25" s="34">
        <f>D23/D24</f>
        <v>1.0527423939362039E-3</v>
      </c>
      <c r="E25" s="34">
        <f>E23/E24</f>
        <v>1.5471413984095386E-4</v>
      </c>
    </row>
  </sheetData>
  <mergeCells count="25">
    <mergeCell ref="D5:E5"/>
    <mergeCell ref="H5:I5"/>
    <mergeCell ref="L5:M5"/>
    <mergeCell ref="P5:Q5"/>
    <mergeCell ref="D2:E2"/>
    <mergeCell ref="H2:I2"/>
    <mergeCell ref="L2:M2"/>
    <mergeCell ref="P2:Q2"/>
    <mergeCell ref="D3:E3"/>
    <mergeCell ref="H3:I3"/>
    <mergeCell ref="L3:M3"/>
    <mergeCell ref="P3:Q3"/>
    <mergeCell ref="B1:E1"/>
    <mergeCell ref="F1:I1"/>
    <mergeCell ref="J1:M1"/>
    <mergeCell ref="N1:Q1"/>
    <mergeCell ref="D4:E4"/>
    <mergeCell ref="H4:I4"/>
    <mergeCell ref="L4:M4"/>
    <mergeCell ref="P4:Q4"/>
    <mergeCell ref="B13:C13"/>
    <mergeCell ref="B20:B22"/>
    <mergeCell ref="B23:B25"/>
    <mergeCell ref="B14:B16"/>
    <mergeCell ref="B17:B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FINAL</vt:lpstr>
      <vt:lpstr>Supply Stack</vt:lpstr>
      <vt:lpstr>Build_RE%</vt:lpstr>
      <vt:lpstr>Carbon Intensity</vt:lpstr>
      <vt:lpstr>SC Ratio</vt:lpstr>
      <vt:lpstr>LCOE</vt:lpstr>
      <vt:lpstr>RE Curtailment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Sharma, Rekha (GE Vernova)</dc:creator>
  <cp:lastModifiedBy>Abi-Rached, Habib (GE Vernova)</cp:lastModifiedBy>
  <dcterms:created xsi:type="dcterms:W3CDTF">2026-06-04T03:48:42Z</dcterms:created>
  <dcterms:modified xsi:type="dcterms:W3CDTF">2026-09-03T20:02:13Z</dcterms:modified>
</cp:coreProperties>
</file>